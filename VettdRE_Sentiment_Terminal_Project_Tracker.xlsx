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er" sheetId="1" state="visible" r:id="rId3"/>
    <sheet name="Phase Summary" sheetId="2" state="visible" r:id="rId4"/>
    <sheet name="API Costs" sheetId="3" state="visible" r:id="rId5"/>
    <sheet name="Dependencies" sheetId="4" state="visible" r:id="rId6"/>
  </sheets>
  <definedNames>
    <definedName function="false" hidden="true" localSheetId="0" name="_xlnm._FilterDatabase" vbProcedure="false">'Project Tracker'!$A$3:$N$3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<sst xmlns="http://schemas.openxmlformats.org/spreadsheetml/2006/main" count="857" uniqueCount="499">
  <si>
    <t xml:space="preserve">VettdRE Sentiment Intelligence Terminal — Project Tracker</t>
  </si>
  <si>
    <t xml:space="preserve">The Bloomberg Terminal of Real Estate  |  36-Week Implementation Plan  |  ~35 New Files, 4 New DB Models, 10 New API Integrations</t>
  </si>
  <si>
    <t xml:space="preserve">#</t>
  </si>
  <si>
    <t xml:space="preserve">Phase</t>
  </si>
  <si>
    <t xml:space="preserve">Module</t>
  </si>
  <si>
    <t xml:space="preserve">Task</t>
  </si>
  <si>
    <t xml:space="preserve">Key Files</t>
  </si>
  <si>
    <t xml:space="preserve">Days</t>
  </si>
  <si>
    <t xml:space="preserve">Dependencies</t>
  </si>
  <si>
    <t xml:space="preserve">Status</t>
  </si>
  <si>
    <t xml:space="preserve">Priority</t>
  </si>
  <si>
    <t xml:space="preserve">Start</t>
  </si>
  <si>
    <t xml:space="preserve">End</t>
  </si>
  <si>
    <t xml:space="preserve">% Done</t>
  </si>
  <si>
    <t xml:space="preserve">Acceptance Criteria</t>
  </si>
  <si>
    <t xml:space="preserve">Notes</t>
  </si>
  <si>
    <t xml:space="preserve">Phase 1</t>
  </si>
  <si>
    <t xml:space="preserve">1.1 Schema</t>
  </si>
  <si>
    <t xml:space="preserve">Add sentiment enums to Prisma schema (7 enums)</t>
  </si>
  <si>
    <t xml:space="preserve">prisma/schema.prisma</t>
  </si>
  <si>
    <t xml:space="preserve">None</t>
  </si>
  <si>
    <t xml:space="preserve">Not Started</t>
  </si>
  <si>
    <t xml:space="preserve">P0</t>
  </si>
  <si>
    <t xml:space="preserve">Migration applies cleanly</t>
  </si>
  <si>
    <t xml:space="preserve">Add SentimentSignal model (24 fields + indexes)</t>
  </si>
  <si>
    <t xml:space="preserve">1.1.1</t>
  </si>
  <si>
    <t xml:space="preserve">Prisma generate succeeds</t>
  </si>
  <si>
    <t xml:space="preserve">Core data table</t>
  </si>
  <si>
    <t xml:space="preserve">Add SentimentIndex model (18 fields + indexes)</t>
  </si>
  <si>
    <t xml:space="preserve">Computed indices</t>
  </si>
  <si>
    <t xml:space="preserve">Add SentimentAlert + SentimentWatchlist models</t>
  </si>
  <si>
    <t xml:space="preserve">User-facing models</t>
  </si>
  <si>
    <t xml:space="preserve">Run migration + generate client</t>
  </si>
  <si>
    <t xml:space="preserve">CLI</t>
  </si>
  <si>
    <t xml:space="preserve">1.1.1-4</t>
  </si>
  <si>
    <t xml:space="preserve">Migration on Supabase succeeds</t>
  </si>
  <si>
    <t xml:space="preserve">Test on local first</t>
  </si>
  <si>
    <t xml:space="preserve">Create TypeScript types file</t>
  </si>
  <si>
    <t xml:space="preserve">src/lib/sentiment/types.ts</t>
  </si>
  <si>
    <t xml:space="preserve">1.1.5</t>
  </si>
  <si>
    <t xml:space="preserve">Types compile with zero errors</t>
  </si>
  <si>
    <t xml:space="preserve">RawSignal, ClassifiedSignal, etc.</t>
  </si>
  <si>
    <t xml:space="preserve">1.2 Infra</t>
  </si>
  <si>
    <t xml:space="preserve">Create adapter interface + base class</t>
  </si>
  <si>
    <t xml:space="preserve">sentiment-source-adapter.ts</t>
  </si>
  <si>
    <t xml:space="preserve">1.1</t>
  </si>
  <si>
    <t xml:space="preserve">Mock adapter runs successfully</t>
  </si>
  <si>
    <t xml:space="preserve">Rate limit, retry, logging</t>
  </si>
  <si>
    <t xml:space="preserve">Create rate limiter (token bucket)</t>
  </si>
  <si>
    <t xml:space="preserve">rate-limiter.ts</t>
  </si>
  <si>
    <t xml:space="preserve">Throttles burst requests correctly</t>
  </si>
  <si>
    <t xml:space="preserve">Per-source limits</t>
  </si>
  <si>
    <t xml:space="preserve">Create ingestion scheduler</t>
  </si>
  <si>
    <t xml:space="preserve">ingestion-scheduler.ts</t>
  </si>
  <si>
    <t xml:space="preserve">1.2.1</t>
  </si>
  <si>
    <t xml:space="preserve">Scheduler invokes adapters on schedule</t>
  </si>
  <si>
    <t xml:space="preserve">Staggered starts, graceful failure</t>
  </si>
  <si>
    <t xml:space="preserve">Create RawSignal type + validation</t>
  </si>
  <si>
    <t xml:space="preserve">raw-signal.ts</t>
  </si>
  <si>
    <t xml:space="preserve">1.1.6</t>
  </si>
  <si>
    <t xml:space="preserve">P1</t>
  </si>
  <si>
    <t xml:space="preserve">Validation catches malformed signals</t>
  </si>
  <si>
    <t xml:space="preserve">1.3 NLP</t>
  </si>
  <si>
    <t xml:space="preserve">Create keyword pre-filter</t>
  </si>
  <si>
    <t xml:space="preserve">keyword-filter.ts</t>
  </si>
  <si>
    <t xml:space="preserve">Filters 70-80% of irrelevant content</t>
  </si>
  <si>
    <t xml:space="preserve">RE keywords, geo keywords, negative keywords</t>
  </si>
  <si>
    <t xml:space="preserve">Create classifier prompt template</t>
  </si>
  <si>
    <t xml:space="preserve">classifier-prompt.ts</t>
  </si>
  <si>
    <t xml:space="preserve">Few-shot examples cover all 6 categories</t>
  </si>
  <si>
    <t xml:space="preserve">System prompt + examples</t>
  </si>
  <si>
    <t xml:space="preserve">Create signal classifier (Claude batch)</t>
  </si>
  <si>
    <t xml:space="preserve">signal-classifier.ts</t>
  </si>
  <si>
    <t xml:space="preserve">1.3.1, 1.3.2</t>
  </si>
  <si>
    <t xml:space="preserve">Classifies 10 test signals with &gt;0.7 accuracy</t>
  </si>
  <si>
    <t xml:space="preserve">Haiku for classification, batch 10-20</t>
  </si>
  <si>
    <t xml:space="preserve">Wire classifier into ingestion pipeline</t>
  </si>
  <si>
    <t xml:space="preserve">ingestion-scheduler.ts (mod)</t>
  </si>
  <si>
    <t xml:space="preserve">1.3.3, 1.2.3</t>
  </si>
  <si>
    <t xml:space="preserve">End-to-end: adapter → filter → classify → store</t>
  </si>
  <si>
    <t xml:space="preserve">1.4 Geo</t>
  </si>
  <si>
    <t xml:space="preserve">Create NYC boundary data (GeoJSON)</t>
  </si>
  <si>
    <t xml:space="preserve">src/data/nyc-boundaries.json</t>
  </si>
  <si>
    <t xml:space="preserve">5 boroughs, ~200 neighborhoods, ~180 zips</t>
  </si>
  <si>
    <t xml:space="preserve">From NYC Dept of City Planning</t>
  </si>
  <si>
    <t xml:space="preserve">Create geo-boundaries module</t>
  </si>
  <si>
    <t xml:space="preserve">geo-boundaries.ts</t>
  </si>
  <si>
    <t xml:space="preserve">1.4.1</t>
  </si>
  <si>
    <t xml:space="preserve">Point-in-polygon lookup works for NYC</t>
  </si>
  <si>
    <t xml:space="preserve">Lightweight, no GIS dependency</t>
  </si>
  <si>
    <t xml:space="preserve">Create GeoTagger (NER + geocoding + boundary)</t>
  </si>
  <si>
    <t xml:space="preserve">geo-tagger.ts</t>
  </si>
  <si>
    <t xml:space="preserve">1.4.2</t>
  </si>
  <si>
    <t xml:space="preserve">"Bushwick apartment" → correct geo chain</t>
  </si>
  <si>
    <t xml:space="preserve">Uses existing Geocodio + PLUTO</t>
  </si>
  <si>
    <t xml:space="preserve">1.5 Trends</t>
  </si>
  <si>
    <t xml:space="preserve">Create Google Trends adapter (SerpApi)</t>
  </si>
  <si>
    <t xml:space="preserve">google-trends-adapter.ts</t>
  </si>
  <si>
    <t xml:space="preserve">Fetches trend data for 22 keywords × 6 markets</t>
  </si>
  <si>
    <t xml:space="preserve">Demand + distress keyword sets</t>
  </si>
  <si>
    <t xml:space="preserve">Create trend baseline computation</t>
  </si>
  <si>
    <t xml:space="preserve">trend-baseline.ts</t>
  </si>
  <si>
    <t xml:space="preserve">1.5.1</t>
  </si>
  <si>
    <t xml:space="preserve">Z-scores produce sensible magnitudes</t>
  </si>
  <si>
    <t xml:space="preserve">12-month rolling baseline</t>
  </si>
  <si>
    <t xml:space="preserve">Add SERPAPI_KEY to env + settings page</t>
  </si>
  <si>
    <t xml:space="preserve">settings/api-keys (mod)</t>
  </si>
  <si>
    <t xml:space="preserve">API key configurable in settings</t>
  </si>
  <si>
    <t xml:space="preserve">Add to .env.example, cloudbuild.yaml</t>
  </si>
  <si>
    <t xml:space="preserve">Seed initial 6 markets + historical baseline</t>
  </si>
  <si>
    <t xml:space="preserve">markets.ts config</t>
  </si>
  <si>
    <t xml:space="preserve">1.5.1, 1.5.2</t>
  </si>
  <si>
    <t xml:space="preserve">NYC + 5 secondary markets seeded</t>
  </si>
  <si>
    <t xml:space="preserve">1.6 News</t>
  </si>
  <si>
    <t xml:space="preserve">Create RSS parser module</t>
  </si>
  <si>
    <t xml:space="preserve">rss-parser.ts</t>
  </si>
  <si>
    <t xml:space="preserve">Parses RSS/Atom feeds with dedup</t>
  </si>
  <si>
    <t xml:space="preserve">Use rss-parser npm package</t>
  </si>
  <si>
    <t xml:space="preserve">Create news feed config (8 Tier 1 feeds)</t>
  </si>
  <si>
    <t xml:space="preserve">news-feeds.ts</t>
  </si>
  <si>
    <t xml:space="preserve">All 8 Tier 1 RSS URLs configured</t>
  </si>
  <si>
    <t xml:space="preserve">TRD, Bisnow, GlobeSt, etc.</t>
  </si>
  <si>
    <t xml:space="preserve">Create news adapter (RSS + Brave News)</t>
  </si>
  <si>
    <t xml:space="preserve">news-adapter.ts</t>
  </si>
  <si>
    <t xml:space="preserve">1.6.1, 1.6.2, 1.2.1</t>
  </si>
  <si>
    <t xml:space="preserve">Ingests + classifies articles from 8+ pubs</t>
  </si>
  <si>
    <t xml:space="preserve">30-min refresh Tier 1</t>
  </si>
  <si>
    <t xml:space="preserve">Extend Brave Search for news queries</t>
  </si>
  <si>
    <t xml:space="preserve">brave-search.ts (mod)</t>
  </si>
  <si>
    <t xml:space="preserve">News queries return relevant results</t>
  </si>
  <si>
    <t xml:space="preserve">Wire news into classification pipeline</t>
  </si>
  <si>
    <t xml:space="preserve">Pipeline integration</t>
  </si>
  <si>
    <t xml:space="preserve">1.6.3, 1.3.3</t>
  </si>
  <si>
    <t xml:space="preserve">Articles classified + geo-tagged + stored</t>
  </si>
  <si>
    <t xml:space="preserve">1.7 Index</t>
  </si>
  <si>
    <t xml:space="preserve">Create freshness decay function</t>
  </si>
  <si>
    <t xml:space="preserve">freshness.ts</t>
  </si>
  <si>
    <t xml:space="preserve">Exponential decay: today=100, 7d=70, 30d=22</t>
  </si>
  <si>
    <t xml:space="preserve">Configurable λ per source</t>
  </si>
  <si>
    <t xml:space="preserve">Create index computation engine</t>
  </si>
  <si>
    <t xml:space="preserve">index-engine.ts</t>
  </si>
  <si>
    <t xml:space="preserve">1.1, 1.3, 1.4</t>
  </si>
  <si>
    <t xml:space="preserve">MPI correct for NYC metro + 5 neighborhoods</t>
  </si>
  <si>
    <t xml:space="preserve">Weighted category aggregation → MPI</t>
  </si>
  <si>
    <t xml:space="preserve">Create trend computation module</t>
  </si>
  <si>
    <t xml:space="preserve">trend-compute.ts</t>
  </si>
  <si>
    <t xml:space="preserve">1.7.2</t>
  </si>
  <si>
    <t xml:space="preserve">30/60/90-day MAs, YoY, percentile rank</t>
  </si>
  <si>
    <t xml:space="preserve">Create computation scheduler + pruning</t>
  </si>
  <si>
    <t xml:space="preserve">index-engine.ts (scheduler)</t>
  </si>
  <si>
    <t xml:space="preserve">1.7.2, 1.2.3</t>
  </si>
  <si>
    <t xml:space="preserve">Metro: 2h, County: 4h, Neighborhood: 6h</t>
  </si>
  <si>
    <t xml:space="preserve">Historical data pruning rules</t>
  </si>
  <si>
    <t xml:space="preserve">1.8 UI</t>
  </si>
  <si>
    <t xml:space="preserve">Create /terminal route + page</t>
  </si>
  <si>
    <t xml:space="preserve">terminal/page.tsx</t>
  </si>
  <si>
    <t xml:space="preserve">Route accessible, protected by auth</t>
  </si>
  <si>
    <t xml:space="preserve">Server component</t>
  </si>
  <si>
    <t xml:space="preserve">Create terminal dashboard layout</t>
  </si>
  <si>
    <t xml:space="preserve">terminal-dashboard.tsx</t>
  </si>
  <si>
    <t xml:space="preserve">1.8.1</t>
  </si>
  <si>
    <t xml:space="preserve">Header + grid + feed + AI panel placeholder</t>
  </si>
  <si>
    <t xml:space="preserve">Client component, responsive</t>
  </si>
  <si>
    <t xml:space="preserve">Create market card component</t>
  </si>
  <si>
    <t xml:space="preserve">components/market-card.tsx</t>
  </si>
  <si>
    <t xml:space="preserve">MPI gauge + sparkline + trend arrow + top signal</t>
  </si>
  <si>
    <t xml:space="preserve">Color-coded by MPI value</t>
  </si>
  <si>
    <t xml:space="preserve">Create MPI gauge component</t>
  </si>
  <si>
    <t xml:space="preserve">components/mpi-gauge.tsx</t>
  </si>
  <si>
    <t xml:space="preserve">Semicircular gauge, -100 to +100, animated</t>
  </si>
  <si>
    <t xml:space="preserve">SVG-based</t>
  </si>
  <si>
    <t xml:space="preserve">Create signal feed component</t>
  </si>
  <si>
    <t xml:space="preserve">components/signal-feed.tsx</t>
  </si>
  <si>
    <t xml:space="preserve">Scrollable, filterable, auto-refresh 60s</t>
  </si>
  <si>
    <t xml:space="preserve">Like message thread list pattern</t>
  </si>
  <si>
    <t xml:space="preserve">Create server actions for terminal</t>
  </si>
  <si>
    <t xml:space="preserve">terminal/actions.ts</t>
  </si>
  <si>
    <t xml:space="preserve">Watchlist, signals, summary endpoints work</t>
  </si>
  <si>
    <t xml:space="preserve">Add Terminal to sidebar + mobile nav</t>
  </si>
  <si>
    <t xml:space="preserve">sidebar.tsx, mobile-nav.tsx (mod)</t>
  </si>
  <si>
    <t xml:space="preserve">Terminal accessible from all nav surfaces</t>
  </si>
  <si>
    <t xml:space="preserve">Activity or BarChart3 icon</t>
  </si>
  <si>
    <t xml:space="preserve">Create watchlist management modal</t>
  </si>
  <si>
    <t xml:space="preserve">1.8.6</t>
  </si>
  <si>
    <t xml:space="preserve">Add/remove markets, drag reorder, plan gating</t>
  </si>
  <si>
    <t xml:space="preserve">1.9 Settings</t>
  </si>
  <si>
    <t xml:space="preserve">Update API keys page for sentiment</t>
  </si>
  <si>
    <t xml:space="preserve">1.5.3</t>
  </si>
  <si>
    <t xml:space="preserve">SerpApi status + test connection</t>
  </si>
  <si>
    <t xml:space="preserve">Create sentiment settings page</t>
  </si>
  <si>
    <t xml:space="preserve">settings/sentiment/page.tsx</t>
  </si>
  <si>
    <t xml:space="preserve">Markets, alerts, frequency config saved</t>
  </si>
  <si>
    <t xml:space="preserve">Update feature gating for sentiment tiers</t>
  </si>
  <si>
    <t xml:space="preserve">Feature gating logic</t>
  </si>
  <si>
    <t xml:space="preserve">Free: 3 markets. Explorer: unlimited. Pro: full.</t>
  </si>
  <si>
    <t xml:space="preserve">Phase 2</t>
  </si>
  <si>
    <t xml:space="preserve">2.1 Reddit</t>
  </si>
  <si>
    <t xml:space="preserve">Create Reddit adapter</t>
  </si>
  <si>
    <t xml:space="preserve">reddit-adapter.ts</t>
  </si>
  <si>
    <t xml:space="preserve">Posts + comments fetched, classified, stored</t>
  </si>
  <si>
    <t xml:space="preserve">Reddit Data API + OAuth2</t>
  </si>
  <si>
    <t xml:space="preserve">Create subreddit config</t>
  </si>
  <si>
    <t xml:space="preserve">reddit-config.ts</t>
  </si>
  <si>
    <t xml:space="preserve">Market-to-subreddit mapping complete</t>
  </si>
  <si>
    <t xml:space="preserve">Add REDDIT env vars + settings</t>
  </si>
  <si>
    <t xml:space="preserve">ENV + settings (mod)</t>
  </si>
  <si>
    <t xml:space="preserve">2.1.1</t>
  </si>
  <si>
    <t xml:space="preserve">API key configurable</t>
  </si>
  <si>
    <t xml:space="preserve">2.2 X/Twitter</t>
  </si>
  <si>
    <t xml:space="preserve">Create X adapter (API v2)</t>
  </si>
  <si>
    <t xml:space="preserve">x-adapter.ts</t>
  </si>
  <si>
    <t xml:space="preserve">Posts fetched via search + filtered stream</t>
  </si>
  <si>
    <t xml:space="preserve">Bearer token auth</t>
  </si>
  <si>
    <t xml:space="preserve">Create X account tracking list</t>
  </si>
  <si>
    <t xml:space="preserve">x-accounts.ts</t>
  </si>
  <si>
    <t xml:space="preserve">RE professionals, journalists curated per market</t>
  </si>
  <si>
    <t xml:space="preserve">Add X_BEARER_TOKEN env var + settings</t>
  </si>
  <si>
    <t xml:space="preserve">2.2.1</t>
  </si>
  <si>
    <t xml:space="preserve">2.3 Heat Map</t>
  </si>
  <si>
    <t xml:space="preserve">Create sentiment map layer (Leaflet)</t>
  </si>
  <si>
    <t xml:space="preserve">sentiment-layer.tsx</t>
  </si>
  <si>
    <t xml:space="preserve">1.7</t>
  </si>
  <si>
    <t xml:space="preserve">Neighborhoods colored by MPI value on map</t>
  </si>
  <si>
    <t xml:space="preserve">Polygon overlay with gradients</t>
  </si>
  <si>
    <t xml:space="preserve">Add to existing map layer controls</t>
  </si>
  <si>
    <t xml:space="preserve">map-layers-renderer.tsx (mod)</t>
  </si>
  <si>
    <t xml:space="preserve">2.3.1</t>
  </si>
  <si>
    <t xml:space="preserve">Toggle works alongside existing 14 layers</t>
  </si>
  <si>
    <t xml:space="preserve">Create time-lapse playback component</t>
  </si>
  <si>
    <t xml:space="preserve">time-lapse.tsx</t>
  </si>
  <si>
    <t xml:space="preserve">12-month scrubbing, play/pause, smooth transitions</t>
  </si>
  <si>
    <t xml:space="preserve">Create sentiment map server actions</t>
  </si>
  <si>
    <t xml:space="preserve">sentiment-actions.ts</t>
  </si>
  <si>
    <t xml:space="preserve">getNeighborhoodMPI, getHistoricalMPI work</t>
  </si>
  <si>
    <t xml:space="preserve">2.4 AI Synth</t>
  </si>
  <si>
    <t xml:space="preserve">Create AI synthesis engine</t>
  </si>
  <si>
    <t xml:space="preserve">ai-synthesis.ts</t>
  </si>
  <si>
    <t xml:space="preserve">2.1, 2.2, 1.7</t>
  </si>
  <si>
    <t xml:space="preserve">Daily briefing + market narrative + contrarian alerts</t>
  </si>
  <si>
    <t xml:space="preserve">Uses existing Anthropic SDK pattern</t>
  </si>
  <si>
    <t xml:space="preserve">Create AI panel UI component</t>
  </si>
  <si>
    <t xml:space="preserve">components/ai-panel.tsx</t>
  </si>
  <si>
    <t xml:space="preserve">2.4.1</t>
  </si>
  <si>
    <t xml:space="preserve">Collapsible panel, markdown rendering, cited signals</t>
  </si>
  <si>
    <t xml:space="preserve">Create synthesis scheduler (daily 7AM)</t>
  </si>
  <si>
    <t xml:space="preserve">ai-synthesis.ts (scheduler)</t>
  </si>
  <si>
    <t xml:space="preserve">Briefing generated + cached daily</t>
  </si>
  <si>
    <t xml:space="preserve">2.5 Building</t>
  </si>
  <si>
    <t xml:space="preserve">Extend data-fusion-engine Phase 4</t>
  </si>
  <si>
    <t xml:space="preserve">data-fusion-engine.ts (mod)</t>
  </si>
  <si>
    <t xml:space="preserve">BuildingIntelligence includes sentiment property</t>
  </si>
  <si>
    <t xml:space="preserve">Non-blocking Phase 4</t>
  </si>
  <si>
    <t xml:space="preserve">Create sentiment section for building profile</t>
  </si>
  <si>
    <t xml:space="preserve">sections/sentiment-section.tsx</t>
  </si>
  <si>
    <t xml:space="preserve">2.5.1</t>
  </si>
  <si>
    <t xml:space="preserve">Neighborhood MPI + building signals displayed</t>
  </si>
  <si>
    <t xml:space="preserve">Extend lead scoring with sentiment signals</t>
  </si>
  <si>
    <t xml:space="preserve">lead-verification.ts (mod)</t>
  </si>
  <si>
    <t xml:space="preserve">Rising MPI +5, falling+distress +10</t>
  </si>
  <si>
    <t xml:space="preserve">2.6 Drilldown</t>
  </si>
  <si>
    <t xml:space="preserve">Create market drilldown page</t>
  </si>
  <si>
    <t xml:space="preserve">terminal/[market]/page.tsx</t>
  </si>
  <si>
    <t xml:space="preserve">1.7, 1.8</t>
  </si>
  <si>
    <t xml:space="preserve">MPI chart + sub-indices + signal table + peers</t>
  </si>
  <si>
    <t xml:space="preserve">Recharts for charting</t>
  </si>
  <si>
    <t xml:space="preserve">Create signal detail page</t>
  </si>
  <si>
    <t xml:space="preserve">terminal/signal/[id]/page.tsx</t>
  </si>
  <si>
    <t xml:space="preserve">Full classification + context + related signals</t>
  </si>
  <si>
    <t xml:space="preserve">Create drilldown server actions</t>
  </si>
  <si>
    <t xml:space="preserve">terminal/[market]/actions.ts</t>
  </si>
  <si>
    <t xml:space="preserve">Market detail + signal detail + comparable markets</t>
  </si>
  <si>
    <t xml:space="preserve">Phase 3</t>
  </si>
  <si>
    <t xml:space="preserve">3.1 TikTok</t>
  </si>
  <si>
    <t xml:space="preserve">Create TikTok adapter</t>
  </si>
  <si>
    <t xml:space="preserve">tiktok-adapter.ts</t>
  </si>
  <si>
    <t xml:space="preserve">Geo-tagged content volume + engagement tracked</t>
  </si>
  <si>
    <t xml:space="preserve">Research API + Apify fallback</t>
  </si>
  <si>
    <t xml:space="preserve">3.2 YouTube</t>
  </si>
  <si>
    <t xml:space="preserve">Create YouTube adapter</t>
  </si>
  <si>
    <t xml:space="preserve">youtube-adapter.ts</t>
  </si>
  <si>
    <t xml:space="preserve">200+ channels monitored, transcripts analyzed</t>
  </si>
  <si>
    <t xml:space="preserve">YouTube Data API v3 (free)</t>
  </si>
  <si>
    <t xml:space="preserve">3.3 Yelp</t>
  </si>
  <si>
    <t xml:space="preserve">Create Yelp business activity adapter</t>
  </si>
  <si>
    <t xml:space="preserve">yelp-adapter.ts</t>
  </si>
  <si>
    <t xml:space="preserve">Business openings/closures per neighborhood</t>
  </si>
  <si>
    <t xml:space="preserve">Yelp Fusion API (free 5K/day)</t>
  </si>
  <si>
    <t xml:space="preserve">3.4 Jobs</t>
  </si>
  <si>
    <t xml:space="preserve">Create jobs &amp; employment adapter</t>
  </si>
  <si>
    <t xml:space="preserve">jobs-adapter.ts</t>
  </si>
  <si>
    <t xml:space="preserve">Job volume by metro, corporate relocations tracked</t>
  </si>
  <si>
    <t xml:space="preserve">Bright Data or direct API</t>
  </si>
  <si>
    <t xml:space="preserve">3.5 Migration</t>
  </si>
  <si>
    <t xml:space="preserve">Create U-Haul migration index</t>
  </si>
  <si>
    <t xml:space="preserve">uhaul-adapter.ts</t>
  </si>
  <si>
    <t xml:space="preserve">One-way pricing ratios for 50 metro pairs</t>
  </si>
  <si>
    <t xml:space="preserve">Weekly scrape</t>
  </si>
  <si>
    <t xml:space="preserve">3.6 Listings</t>
  </si>
  <si>
    <t xml:space="preserve">Create listing language NLP adapter</t>
  </si>
  <si>
    <t xml:space="preserve">listings-nlp-adapter.ts</t>
  </si>
  <si>
    <t xml:space="preserve">Concession %, urgency %, amenity inflation tracked</t>
  </si>
  <si>
    <t xml:space="preserve">StreetEasy + Brave Search</t>
  </si>
  <si>
    <t xml:space="preserve">3.7 Time-lapse</t>
  </si>
  <si>
    <t xml:space="preserve">Enhance time-lapse with annotations + export</t>
  </si>
  <si>
    <t xml:space="preserve">time-lapse.tsx (mod)</t>
  </si>
  <si>
    <t xml:space="preserve">2.3.3</t>
  </si>
  <si>
    <t xml:space="preserve">P2</t>
  </si>
  <si>
    <t xml:space="preserve">Event annotations + GIF export</t>
  </si>
  <si>
    <t xml:space="preserve">Phase 4</t>
  </si>
  <si>
    <t xml:space="preserve">4.1 Insurance</t>
  </si>
  <si>
    <t xml:space="preserve">Create insurance market adapter</t>
  </si>
  <si>
    <t xml:space="preserve">insurance-adapter.ts</t>
  </si>
  <si>
    <t xml:space="preserve">Insurer withdrawals, premium changes tracked</t>
  </si>
  <si>
    <t xml:space="preserve">Public data scraping</t>
  </si>
  <si>
    <t xml:space="preserve">4.2 Mobility</t>
  </si>
  <si>
    <t xml:space="preserve">Create foot traffic integration</t>
  </si>
  <si>
    <t xml:space="preserve">mobility-adapter.ts</t>
  </si>
  <si>
    <t xml:space="preserve">Foot traffic by neighborhood from SafeGraph</t>
  </si>
  <si>
    <t xml:space="preserve">Enterprise API</t>
  </si>
  <si>
    <t xml:space="preserve">4.3 Construction</t>
  </si>
  <si>
    <t xml:space="preserve">Create construction cost index</t>
  </si>
  <si>
    <t xml:space="preserve">construction-adapter.ts</t>
  </si>
  <si>
    <t xml:space="preserve">BLS PPI + ENR index tracked</t>
  </si>
  <si>
    <t xml:space="preserve">Free BLS API</t>
  </si>
  <si>
    <t xml:space="preserve">4.4 STR</t>
  </si>
  <si>
    <t xml:space="preserve">Create STR regulatory tracker</t>
  </si>
  <si>
    <t xml:space="preserve">str-adapter.ts</t>
  </si>
  <si>
    <t xml:space="preserve">Council agendas scanned for STR items</t>
  </si>
  <si>
    <t xml:space="preserve">4.5 Permits</t>
  </si>
  <si>
    <t xml:space="preserve">Create permit velocity time-series (z-scores)</t>
  </si>
  <si>
    <t xml:space="preserve">permit-velocity.ts</t>
  </si>
  <si>
    <t xml:space="preserve">90-day rolling avg vs. 12-month baseline</t>
  </si>
  <si>
    <t xml:space="preserve">Extends existing DOB data</t>
  </si>
  <si>
    <t xml:space="preserve">4.6 Alerts</t>
  </si>
  <si>
    <t xml:space="preserve">Build advanced alert system + email digests</t>
  </si>
  <si>
    <t xml:space="preserve">alert-engine.ts + email templates</t>
  </si>
  <si>
    <t xml:space="preserve">Threshold + velocity + divergence alerts via email</t>
  </si>
  <si>
    <t xml:space="preserve">Phase 5</t>
  </si>
  <si>
    <t xml:space="preserve">5.1 Framework</t>
  </si>
  <si>
    <t xml:space="preserve">Refactor adapters to market-agnostic framework</t>
  </si>
  <si>
    <t xml:space="preserve">All adapters (refactor)</t>
  </si>
  <si>
    <t xml:space="preserve">Adapters accept market config, not hardcoded NYC</t>
  </si>
  <si>
    <t xml:space="preserve">Strangler fig pattern</t>
  </si>
  <si>
    <t xml:space="preserve">5.2 Markets</t>
  </si>
  <si>
    <t xml:space="preserve">Onboard Miami + Austin + Nashville + LA + Chicago</t>
  </si>
  <si>
    <t xml:space="preserve">Market configs</t>
  </si>
  <si>
    <t xml:space="preserve">5.1</t>
  </si>
  <si>
    <t xml:space="preserve">All 6 markets fully operational</t>
  </si>
  <si>
    <t xml:space="preserve">~3 days per market</t>
  </si>
  <si>
    <t xml:space="preserve">5.3 Cross-mkt</t>
  </si>
  <si>
    <t xml:space="preserve">Create cross-market comparison views</t>
  </si>
  <si>
    <t xml:space="preserve">terminal/compare/page.tsx</t>
  </si>
  <si>
    <t xml:space="preserve">5.2</t>
  </si>
  <si>
    <t xml:space="preserve">National rankings, peer analysis, migration flows</t>
  </si>
  <si>
    <t xml:space="preserve">5.4 API</t>
  </si>
  <si>
    <t xml:space="preserve">Create REST API for indices (Enterprise)</t>
  </si>
  <si>
    <t xml:space="preserve">api/sentiment/route.ts</t>
  </si>
  <si>
    <t xml:space="preserve">API access with rate limiting by plan tier</t>
  </si>
  <si>
    <t xml:space="preserve">TOTAL</t>
  </si>
  <si>
    <t xml:space="preserve">Phase Summary — Sentiment Intelligence Terminal</t>
  </si>
  <si>
    <t xml:space="preserve">Weeks</t>
  </si>
  <si>
    <t xml:space="preserve">Tasks</t>
  </si>
  <si>
    <t xml:space="preserve">Est. Days</t>
  </si>
  <si>
    <t xml:space="preserve">Goal</t>
  </si>
  <si>
    <t xml:space="preserve">Key Deliverables</t>
  </si>
  <si>
    <t xml:space="preserve">New APIs Required</t>
  </si>
  <si>
    <t xml:space="preserve">Ship Gate</t>
  </si>
  <si>
    <t xml:space="preserve">Phase 1: Foundation</t>
  </si>
  <si>
    <t xml:space="preserve">1-6</t>
  </si>
  <si>
    <t xml:space="preserve">~42</t>
  </si>
  <si>
    <t xml:space="preserve">Core pipeline + Google Trends + News + Terminal UI</t>
  </si>
  <si>
    <t xml:space="preserve">Ingestion pipeline, NLP classifier, GeoTagger, Google Trends adapter, News adapter, Index engine, /terminal dashboard, Watchlist</t>
  </si>
  <si>
    <t xml:space="preserve">SerpApi ($50/mo)</t>
  </si>
  <si>
    <t xml:space="preserve">MPI displayed for NYC metro + 5 boroughs with real data from Trends + News</t>
  </si>
  <si>
    <t xml:space="preserve">Phase 2: Social Layer</t>
  </si>
  <si>
    <t xml:space="preserve">7-12</t>
  </si>
  <si>
    <t xml:space="preserve">~30</t>
  </si>
  <si>
    <t xml:space="preserve">Reddit + X + Heat map + AI synthesis + Building integration</t>
  </si>
  <si>
    <t xml:space="preserve">Reddit adapter, X adapter, Sentiment heat map layer, AI synthesis panel, Building profile sentiment section, Signal drilldowns</t>
  </si>
  <si>
    <t xml:space="preserve">X API Basic ($100/mo), Reddit API (free)</t>
  </si>
  <si>
    <t xml:space="preserve">Social signals flowing, heat map on Market Intel map, daily AI briefings generated</t>
  </si>
  <si>
    <t xml:space="preserve">Phase 3: Alt Data</t>
  </si>
  <si>
    <t xml:space="preserve">13-20</t>
  </si>
  <si>
    <t xml:space="preserve">~17</t>
  </si>
  <si>
    <t xml:space="preserve">TikTok, YouTube, Yelp, Jobs, Migration, Listing NLP</t>
  </si>
  <si>
    <t xml:space="preserve">6 new adapters, enhanced time-lapse, 100+ signals/day for NYC</t>
  </si>
  <si>
    <t xml:space="preserve">TikTok API, YouTube API (free), Yelp API (free), Apify ($49/mo), Bright Data</t>
  </si>
  <si>
    <t xml:space="preserve">All 6 adapters operational, signal volume significantly increased</t>
  </si>
  <si>
    <t xml:space="preserve">Phase 4: Enterprise</t>
  </si>
  <si>
    <t xml:space="preserve">21-28</t>
  </si>
  <si>
    <t xml:space="preserve">~16</t>
  </si>
  <si>
    <t xml:space="preserve">Insurance, mobility, construction, STR, permits, advanced alerts</t>
  </si>
  <si>
    <t xml:space="preserve">4 new adapters, permit velocity z-scores, email digest alerts</t>
  </si>
  <si>
    <t xml:space="preserve">SafeGraph ($$$)</t>
  </si>
  <si>
    <t xml:space="preserve">Enterprise signals operational, email alerts delivered</t>
  </si>
  <si>
    <t xml:space="preserve">Phase 5: Multi-Market</t>
  </si>
  <si>
    <t xml:space="preserve">29-36</t>
  </si>
  <si>
    <t xml:space="preserve">~29</t>
  </si>
  <si>
    <t xml:space="preserve">Expand to Miami, Austin, Nashville, LA, Chicago + API access</t>
  </si>
  <si>
    <t xml:space="preserve">Market-agnostic framework, 5 new markets, cross-market views, REST API</t>
  </si>
  <si>
    <t xml:space="preserve">None (reuses existing)</t>
  </si>
  <si>
    <t xml:space="preserve">6 markets operational, API access for enterprise tier</t>
  </si>
  <si>
    <t xml:space="preserve">API Cost Breakdown — Sentiment Intelligence Terminal</t>
  </si>
  <si>
    <t xml:space="preserve">Service</t>
  </si>
  <si>
    <t xml:space="preserve">Env Variable(s)</t>
  </si>
  <si>
    <t xml:space="preserve">Purpose</t>
  </si>
  <si>
    <t xml:space="preserve">Monthly Cost</t>
  </si>
  <si>
    <t xml:space="preserve">SerpApi</t>
  </si>
  <si>
    <t xml:space="preserve">SERPAPI_KEY</t>
  </si>
  <si>
    <t xml:space="preserve">Google Trends programmatic access</t>
  </si>
  <si>
    <t xml:space="preserve">Can start with $50/mo plan (5K searches)</t>
  </si>
  <si>
    <t xml:space="preserve">Brave Search</t>
  </si>
  <si>
    <t xml:space="preserve">BRAVE_SEARCH_API_KEY</t>
  </si>
  <si>
    <t xml:space="preserve">News search, entity research</t>
  </si>
  <si>
    <t xml:space="preserve">Already integrated — existing cost</t>
  </si>
  <si>
    <t xml:space="preserve">Anthropic Claude</t>
  </si>
  <si>
    <t xml:space="preserve">ANTHROPIC_API_KEY</t>
  </si>
  <si>
    <t xml:space="preserve">NLP classification + synthesis</t>
  </si>
  <si>
    <t xml:space="preserve">Estimate: ~$50/mo for classification volume. Already integrated.</t>
  </si>
  <si>
    <t xml:space="preserve">Reddit API</t>
  </si>
  <si>
    <t xml:space="preserve">REDDIT_CLIENT_ID/SECRET</t>
  </si>
  <si>
    <t xml:space="preserve">Subreddit posts &amp; comments</t>
  </si>
  <si>
    <t xml:space="preserve">Free for research/commercial use</t>
  </si>
  <si>
    <t xml:space="preserve">X API v2 (Basic)</t>
  </si>
  <si>
    <t xml:space="preserve">X_BEARER_TOKEN</t>
  </si>
  <si>
    <t xml:space="preserve">Tweet search &amp; filtered streams</t>
  </si>
  <si>
    <t xml:space="preserve">Basic tier. Upgrade to Pro ($5K) if volume requires</t>
  </si>
  <si>
    <t xml:space="preserve">TikTok Research API</t>
  </si>
  <si>
    <t xml:space="preserve">TIKTOK_API_KEY</t>
  </si>
  <si>
    <t xml:space="preserve">Content metadata &amp; geo-tags</t>
  </si>
  <si>
    <t xml:space="preserve">Free for research. Commercial may require partnership.</t>
  </si>
  <si>
    <t xml:space="preserve">Apify (fallback)</t>
  </si>
  <si>
    <t xml:space="preserve">APIFY_API_TOKEN</t>
  </si>
  <si>
    <t xml:space="preserve">TikTok/Instagram scraping</t>
  </si>
  <si>
    <t xml:space="preserve">Starter plan. Scale as needed.</t>
  </si>
  <si>
    <t xml:space="preserve">YouTube Data API v3</t>
  </si>
  <si>
    <t xml:space="preserve">YOUTUBE_API_KEY</t>
  </si>
  <si>
    <t xml:space="preserve">Video metadata &amp; transcripts</t>
  </si>
  <si>
    <t xml:space="preserve">Free (10K units/day quota)</t>
  </si>
  <si>
    <t xml:space="preserve">Yelp Fusion API</t>
  </si>
  <si>
    <t xml:space="preserve">YELP_API_KEY</t>
  </si>
  <si>
    <t xml:space="preserve">Business openings/closures</t>
  </si>
  <si>
    <t xml:space="preserve">Free (5K calls/day)</t>
  </si>
  <si>
    <t xml:space="preserve">Bright Data</t>
  </si>
  <si>
    <t xml:space="preserve">BRIGHTDATA_API_KEY</t>
  </si>
  <si>
    <t xml:space="preserve">Indeed/LinkedIn job scraping</t>
  </si>
  <si>
    <t xml:space="preserve">Estimate. Depends on volume.</t>
  </si>
  <si>
    <t xml:space="preserve">SafeGraph/Placer.ai</t>
  </si>
  <si>
    <t xml:space="preserve">SAFEGRAPH_API_KEY</t>
  </si>
  <si>
    <t xml:space="preserve">Foot traffic data</t>
  </si>
  <si>
    <t xml:space="preserve">Enterprise pricing. Can defer.</t>
  </si>
  <si>
    <t xml:space="preserve">Geocodio</t>
  </si>
  <si>
    <t xml:space="preserve">GEOCODIO_API_KEY</t>
  </si>
  <si>
    <t xml:space="preserve">Address geocoding</t>
  </si>
  <si>
    <t xml:space="preserve">Already integrated — free tier (2.5K/day)</t>
  </si>
  <si>
    <t xml:space="preserve">FRED API</t>
  </si>
  <si>
    <t xml:space="preserve">FRED_API_KEY</t>
  </si>
  <si>
    <t xml:space="preserve">Mortgage rates, economic data</t>
  </si>
  <si>
    <t xml:space="preserve">Already integrated — free</t>
  </si>
  <si>
    <t xml:space="preserve">TOTAL MONTHLY (all phases)</t>
  </si>
  <si>
    <t xml:space="preserve">Phase 1 Monthly Cost</t>
  </si>
  <si>
    <t xml:space="preserve">SerpApi $50 + Claude ~$50 (existing infra)</t>
  </si>
  <si>
    <t xml:space="preserve">Critical Path &amp; Dependencies</t>
  </si>
  <si>
    <t xml:space="preserve">Depends On</t>
  </si>
  <si>
    <t xml:space="preserve">Blocks</t>
  </si>
  <si>
    <t xml:space="preserve">Nothing (start here)</t>
  </si>
  <si>
    <t xml:space="preserve">Everything in Phase 1</t>
  </si>
  <si>
    <t xml:space="preserve">CRITICAL PATH: Must complete first</t>
  </si>
  <si>
    <t xml:space="preserve">1.3 NLP, 1.5 Trends, 1.6 News</t>
  </si>
  <si>
    <t xml:space="preserve">Adapter interface used by all data sources</t>
  </si>
  <si>
    <t xml:space="preserve">1.1 Schema, 1.2 Infra</t>
  </si>
  <si>
    <t xml:space="preserve">1.4 Geo, 1.6 News pipeline, 1.7 Index</t>
  </si>
  <si>
    <t xml:space="preserve">Claude classifier is core of pipeline</t>
  </si>
  <si>
    <t xml:space="preserve">1.1 Schema, 1.3 NLP</t>
  </si>
  <si>
    <t xml:space="preserve">1.7 Index (needs geo-tagged signals)</t>
  </si>
  <si>
    <t xml:space="preserve">Can parallelize boundary data + GeoTagger</t>
  </si>
  <si>
    <t xml:space="preserve">1.7 Index (needs signal data), 1.8 UI</t>
  </si>
  <si>
    <t xml:space="preserve">Can start once adapter interface exists</t>
  </si>
  <si>
    <t xml:space="preserve">1.2 Infra, 1.3 NLP</t>
  </si>
  <si>
    <t xml:space="preserve">1.7 Index, 1.8 UI</t>
  </si>
  <si>
    <t xml:space="preserve">RSS parser can start in parallel</t>
  </si>
  <si>
    <t xml:space="preserve">1.1, 1.3, 1.4, 1.5/1.6 (signal data)</t>
  </si>
  <si>
    <t xml:space="preserve">1.8 UI, Phase 2 (all)</t>
  </si>
  <si>
    <t xml:space="preserve">CRITICAL PATH: No UI without indices</t>
  </si>
  <si>
    <t xml:space="preserve">1.7 Index engine</t>
  </si>
  <si>
    <t xml:space="preserve">Phase 1 ship gate</t>
  </si>
  <si>
    <t xml:space="preserve">Can scaffold layout while waiting for data</t>
  </si>
  <si>
    <t xml:space="preserve">1.5 (API keys), 1.8 (routes)</t>
  </si>
  <si>
    <t xml:space="preserve">Low priority, can defer</t>
  </si>
  <si>
    <t xml:space="preserve">Phase 1 complete</t>
  </si>
  <si>
    <t xml:space="preserve">Social adapters + heat map + AI synthesis</t>
  </si>
  <si>
    <t xml:space="preserve">Phase 2 complete</t>
  </si>
  <si>
    <t xml:space="preserve">6 new data source adapters</t>
  </si>
  <si>
    <t xml:space="preserve">Phase 3 complete</t>
  </si>
  <si>
    <t xml:space="preserve">Enterprise signals + alerts</t>
  </si>
  <si>
    <t xml:space="preserve">Phase 4 complete</t>
  </si>
  <si>
    <t xml:space="preserve">Launch</t>
  </si>
  <si>
    <t xml:space="preserve">Multi-market expansion</t>
  </si>
  <si>
    <t xml:space="preserve">CRITICAL PATH: 1.1 Schema → 1.2 Infra → 1.3 NLP → 1.4 Geo → 1.7 Index → 1.8 UI → Ship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</si>
</sst>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0%"/>
    <numFmt numFmtId="167" formatCode="\$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2E75B6"/>
      <name val="Consolas"/>
      <family val="0"/>
      <charset val="1"/>
    </font>
    <font>
      <b val="true"/>
      <sz val="9"/>
      <color rgb="FFE74C3C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E8A838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1"/>
      <color rgb="FF1A2B4A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b val="true"/>
      <sz val="11"/>
      <color rgb="FFE74C3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B4A"/>
        <bgColor rgb="FF333333"/>
      </patternFill>
    </fill>
    <fill>
      <patternFill patternType="solid">
        <fgColor rgb="FF1B4F72"/>
        <bgColor rgb="FF1A2B4A"/>
      </patternFill>
    </fill>
    <fill>
      <patternFill patternType="solid">
        <fgColor rgb="FFF5F5F5"/>
        <bgColor rgb="FFF2F2F2"/>
      </patternFill>
    </fill>
    <fill>
      <patternFill patternType="solid">
        <fgColor rgb="FF7D3C98"/>
        <bgColor rgb="FF666699"/>
      </patternFill>
    </fill>
    <fill>
      <patternFill patternType="solid">
        <fgColor rgb="FF1E8449"/>
        <bgColor rgb="FF008080"/>
      </patternFill>
    </fill>
    <fill>
      <patternFill patternType="solid">
        <fgColor rgb="FFB9770E"/>
        <bgColor rgb="FF9C5700"/>
      </patternFill>
    </fill>
    <fill>
      <patternFill patternType="solid">
        <fgColor rgb="FFCB4335"/>
        <bgColor rgb="FFE74C3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2B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08080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9770E"/>
      <rgbColor rgb="FF800080"/>
      <rgbColor rgb="FF1E8449"/>
      <rgbColor rgb="FFCCCCCC"/>
      <rgbColor rgb="FF808080"/>
      <rgbColor rgb="FF9999FF"/>
      <rgbColor rgb="FF7D3C98"/>
      <rgbColor rgb="FFF5F5F5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E8A838"/>
      <rgbColor rgb="FFE74C3C"/>
      <rgbColor rgb="FF666699"/>
      <rgbColor rgb="FF888888"/>
      <rgbColor rgb="FF1A2B4A"/>
      <rgbColor rgb="FF27AE60"/>
      <rgbColor rgb="FF003300"/>
      <rgbColor rgb="FF333300"/>
      <rgbColor rgb="FF9C5700"/>
      <rgbColor rgb="FFCB4335"/>
      <rgbColor rgb="FF1B4F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A1:N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35"/>
    <col collapsed="false" customWidth="true" hidden="false" outlineLevel="0" max="14" min="14" style="0" width="2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7.75" hidden="false" customHeight="true" outlineLevel="0" collapsed="false">
      <c r="A4" s="4" t="n">
        <v>1</v>
      </c>
      <c r="B4" s="5" t="s">
        <v>16</v>
      </c>
      <c r="C4" s="6" t="s">
        <v>17</v>
      </c>
      <c r="D4" s="7" t="s">
        <v>18</v>
      </c>
      <c r="E4" s="8" t="s">
        <v>19</v>
      </c>
      <c r="F4" s="9" t="n">
        <v>1</v>
      </c>
      <c r="G4" s="4" t="s">
        <v>20</v>
      </c>
      <c r="H4" s="9" t="s">
        <v>21</v>
      </c>
      <c r="I4" s="10" t="s">
        <v>22</v>
      </c>
      <c r="J4" s="11"/>
      <c r="K4" s="11"/>
      <c r="L4" s="12" t="n">
        <v>0</v>
      </c>
      <c r="M4" s="13" t="s">
        <v>23</v>
      </c>
      <c r="N4" s="14"/>
    </row>
    <row r="5" customFormat="false" ht="27.75" hidden="false" customHeight="true" outlineLevel="0" collapsed="false">
      <c r="A5" s="15" t="n">
        <v>2</v>
      </c>
      <c r="B5" s="5" t="s">
        <v>16</v>
      </c>
      <c r="C5" s="16" t="s">
        <v>17</v>
      </c>
      <c r="D5" s="17" t="s">
        <v>24</v>
      </c>
      <c r="E5" s="18" t="s">
        <v>19</v>
      </c>
      <c r="F5" s="19" t="n">
        <v>1</v>
      </c>
      <c r="G5" s="15" t="s">
        <v>25</v>
      </c>
      <c r="H5" s="19" t="s">
        <v>21</v>
      </c>
      <c r="I5" s="20" t="s">
        <v>22</v>
      </c>
      <c r="J5" s="21"/>
      <c r="K5" s="21"/>
      <c r="L5" s="22" t="n">
        <v>0</v>
      </c>
      <c r="M5" s="23" t="s">
        <v>26</v>
      </c>
      <c r="N5" s="24" t="s">
        <v>27</v>
      </c>
    </row>
    <row r="6" customFormat="false" ht="27.75" hidden="false" customHeight="true" outlineLevel="0" collapsed="false">
      <c r="A6" s="4" t="n">
        <v>3</v>
      </c>
      <c r="B6" s="5" t="s">
        <v>16</v>
      </c>
      <c r="C6" s="6" t="s">
        <v>17</v>
      </c>
      <c r="D6" s="7" t="s">
        <v>28</v>
      </c>
      <c r="E6" s="8" t="s">
        <v>19</v>
      </c>
      <c r="F6" s="9" t="n">
        <v>0.5</v>
      </c>
      <c r="G6" s="4" t="s">
        <v>25</v>
      </c>
      <c r="H6" s="9" t="s">
        <v>21</v>
      </c>
      <c r="I6" s="10" t="s">
        <v>22</v>
      </c>
      <c r="J6" s="11"/>
      <c r="K6" s="11"/>
      <c r="L6" s="12" t="n">
        <v>0</v>
      </c>
      <c r="M6" s="13" t="s">
        <v>26</v>
      </c>
      <c r="N6" s="14" t="s">
        <v>29</v>
      </c>
    </row>
    <row r="7" customFormat="false" ht="27.75" hidden="false" customHeight="true" outlineLevel="0" collapsed="false">
      <c r="A7" s="15" t="n">
        <v>4</v>
      </c>
      <c r="B7" s="5" t="s">
        <v>16</v>
      </c>
      <c r="C7" s="16" t="s">
        <v>17</v>
      </c>
      <c r="D7" s="17" t="s">
        <v>30</v>
      </c>
      <c r="E7" s="18" t="s">
        <v>19</v>
      </c>
      <c r="F7" s="19" t="n">
        <v>0.5</v>
      </c>
      <c r="G7" s="15" t="s">
        <v>25</v>
      </c>
      <c r="H7" s="19" t="s">
        <v>21</v>
      </c>
      <c r="I7" s="20" t="s">
        <v>22</v>
      </c>
      <c r="J7" s="21"/>
      <c r="K7" s="21"/>
      <c r="L7" s="22" t="n">
        <v>0</v>
      </c>
      <c r="M7" s="23" t="s">
        <v>26</v>
      </c>
      <c r="N7" s="24" t="s">
        <v>31</v>
      </c>
    </row>
    <row r="8" customFormat="false" ht="27.75" hidden="false" customHeight="true" outlineLevel="0" collapsed="false">
      <c r="A8" s="4" t="n">
        <v>5</v>
      </c>
      <c r="B8" s="5" t="s">
        <v>16</v>
      </c>
      <c r="C8" s="6" t="s">
        <v>17</v>
      </c>
      <c r="D8" s="7" t="s">
        <v>32</v>
      </c>
      <c r="E8" s="8" t="s">
        <v>33</v>
      </c>
      <c r="F8" s="9" t="n">
        <v>0.5</v>
      </c>
      <c r="G8" s="4" t="s">
        <v>34</v>
      </c>
      <c r="H8" s="9" t="s">
        <v>21</v>
      </c>
      <c r="I8" s="10" t="s">
        <v>22</v>
      </c>
      <c r="J8" s="11"/>
      <c r="K8" s="11"/>
      <c r="L8" s="12" t="n">
        <v>0</v>
      </c>
      <c r="M8" s="13" t="s">
        <v>35</v>
      </c>
      <c r="N8" s="14" t="s">
        <v>36</v>
      </c>
    </row>
    <row r="9" customFormat="false" ht="27.75" hidden="false" customHeight="true" outlineLevel="0" collapsed="false">
      <c r="A9" s="15" t="n">
        <v>6</v>
      </c>
      <c r="B9" s="5" t="s">
        <v>16</v>
      </c>
      <c r="C9" s="16" t="s">
        <v>17</v>
      </c>
      <c r="D9" s="17" t="s">
        <v>37</v>
      </c>
      <c r="E9" s="18" t="s">
        <v>38</v>
      </c>
      <c r="F9" s="19" t="n">
        <v>0.5</v>
      </c>
      <c r="G9" s="15" t="s">
        <v>39</v>
      </c>
      <c r="H9" s="19" t="s">
        <v>21</v>
      </c>
      <c r="I9" s="20" t="s">
        <v>22</v>
      </c>
      <c r="J9" s="21"/>
      <c r="K9" s="21"/>
      <c r="L9" s="22" t="n">
        <v>0</v>
      </c>
      <c r="M9" s="23" t="s">
        <v>40</v>
      </c>
      <c r="N9" s="24" t="s">
        <v>41</v>
      </c>
    </row>
    <row r="10" customFormat="false" ht="27.75" hidden="false" customHeight="true" outlineLevel="0" collapsed="false">
      <c r="A10" s="4" t="n">
        <v>7</v>
      </c>
      <c r="B10" s="5" t="s">
        <v>16</v>
      </c>
      <c r="C10" s="6" t="s">
        <v>42</v>
      </c>
      <c r="D10" s="7" t="s">
        <v>43</v>
      </c>
      <c r="E10" s="8" t="s">
        <v>44</v>
      </c>
      <c r="F10" s="9" t="n">
        <v>2</v>
      </c>
      <c r="G10" s="4" t="s">
        <v>45</v>
      </c>
      <c r="H10" s="9" t="s">
        <v>21</v>
      </c>
      <c r="I10" s="10" t="s">
        <v>22</v>
      </c>
      <c r="J10" s="11"/>
      <c r="K10" s="11"/>
      <c r="L10" s="12" t="n">
        <v>0</v>
      </c>
      <c r="M10" s="13" t="s">
        <v>46</v>
      </c>
      <c r="N10" s="14" t="s">
        <v>47</v>
      </c>
    </row>
    <row r="11" customFormat="false" ht="27.75" hidden="false" customHeight="true" outlineLevel="0" collapsed="false">
      <c r="A11" s="15" t="n">
        <v>8</v>
      </c>
      <c r="B11" s="5" t="s">
        <v>16</v>
      </c>
      <c r="C11" s="16" t="s">
        <v>42</v>
      </c>
      <c r="D11" s="17" t="s">
        <v>48</v>
      </c>
      <c r="E11" s="18" t="s">
        <v>49</v>
      </c>
      <c r="F11" s="19" t="n">
        <v>1</v>
      </c>
      <c r="G11" s="15" t="s">
        <v>20</v>
      </c>
      <c r="H11" s="19" t="s">
        <v>21</v>
      </c>
      <c r="I11" s="20" t="s">
        <v>22</v>
      </c>
      <c r="J11" s="21"/>
      <c r="K11" s="21"/>
      <c r="L11" s="22" t="n">
        <v>0</v>
      </c>
      <c r="M11" s="23" t="s">
        <v>50</v>
      </c>
      <c r="N11" s="24" t="s">
        <v>51</v>
      </c>
    </row>
    <row r="12" customFormat="false" ht="27.75" hidden="false" customHeight="true" outlineLevel="0" collapsed="false">
      <c r="A12" s="4" t="n">
        <v>9</v>
      </c>
      <c r="B12" s="5" t="s">
        <v>16</v>
      </c>
      <c r="C12" s="6" t="s">
        <v>42</v>
      </c>
      <c r="D12" s="7" t="s">
        <v>52</v>
      </c>
      <c r="E12" s="8" t="s">
        <v>53</v>
      </c>
      <c r="F12" s="9" t="n">
        <v>1.5</v>
      </c>
      <c r="G12" s="4" t="s">
        <v>54</v>
      </c>
      <c r="H12" s="9" t="s">
        <v>21</v>
      </c>
      <c r="I12" s="10" t="s">
        <v>22</v>
      </c>
      <c r="J12" s="11"/>
      <c r="K12" s="11"/>
      <c r="L12" s="12" t="n">
        <v>0</v>
      </c>
      <c r="M12" s="13" t="s">
        <v>55</v>
      </c>
      <c r="N12" s="14" t="s">
        <v>56</v>
      </c>
    </row>
    <row r="13" customFormat="false" ht="27.75" hidden="false" customHeight="true" outlineLevel="0" collapsed="false">
      <c r="A13" s="15" t="n">
        <v>10</v>
      </c>
      <c r="B13" s="5" t="s">
        <v>16</v>
      </c>
      <c r="C13" s="16" t="s">
        <v>42</v>
      </c>
      <c r="D13" s="17" t="s">
        <v>57</v>
      </c>
      <c r="E13" s="18" t="s">
        <v>58</v>
      </c>
      <c r="F13" s="19" t="n">
        <v>0.5</v>
      </c>
      <c r="G13" s="15" t="s">
        <v>59</v>
      </c>
      <c r="H13" s="19" t="s">
        <v>21</v>
      </c>
      <c r="I13" s="25" t="s">
        <v>60</v>
      </c>
      <c r="J13" s="21"/>
      <c r="K13" s="21"/>
      <c r="L13" s="22" t="n">
        <v>0</v>
      </c>
      <c r="M13" s="23" t="s">
        <v>61</v>
      </c>
      <c r="N13" s="24"/>
    </row>
    <row r="14" customFormat="false" ht="27.75" hidden="false" customHeight="true" outlineLevel="0" collapsed="false">
      <c r="A14" s="4" t="n">
        <v>11</v>
      </c>
      <c r="B14" s="5" t="s">
        <v>16</v>
      </c>
      <c r="C14" s="6" t="s">
        <v>62</v>
      </c>
      <c r="D14" s="7" t="s">
        <v>63</v>
      </c>
      <c r="E14" s="8" t="s">
        <v>64</v>
      </c>
      <c r="F14" s="9" t="n">
        <v>1.5</v>
      </c>
      <c r="G14" s="4" t="s">
        <v>20</v>
      </c>
      <c r="H14" s="9" t="s">
        <v>21</v>
      </c>
      <c r="I14" s="10" t="s">
        <v>22</v>
      </c>
      <c r="J14" s="11"/>
      <c r="K14" s="11"/>
      <c r="L14" s="12" t="n">
        <v>0</v>
      </c>
      <c r="M14" s="13" t="s">
        <v>65</v>
      </c>
      <c r="N14" s="14" t="s">
        <v>66</v>
      </c>
    </row>
    <row r="15" customFormat="false" ht="27.75" hidden="false" customHeight="true" outlineLevel="0" collapsed="false">
      <c r="A15" s="15" t="n">
        <v>12</v>
      </c>
      <c r="B15" s="5" t="s">
        <v>16</v>
      </c>
      <c r="C15" s="16" t="s">
        <v>62</v>
      </c>
      <c r="D15" s="17" t="s">
        <v>67</v>
      </c>
      <c r="E15" s="18" t="s">
        <v>68</v>
      </c>
      <c r="F15" s="19" t="n">
        <v>1</v>
      </c>
      <c r="G15" s="15" t="s">
        <v>20</v>
      </c>
      <c r="H15" s="19" t="s">
        <v>21</v>
      </c>
      <c r="I15" s="20" t="s">
        <v>22</v>
      </c>
      <c r="J15" s="21"/>
      <c r="K15" s="21"/>
      <c r="L15" s="22" t="n">
        <v>0</v>
      </c>
      <c r="M15" s="23" t="s">
        <v>69</v>
      </c>
      <c r="N15" s="24" t="s">
        <v>70</v>
      </c>
    </row>
    <row r="16" customFormat="false" ht="27.75" hidden="false" customHeight="true" outlineLevel="0" collapsed="false">
      <c r="A16" s="4" t="n">
        <v>13</v>
      </c>
      <c r="B16" s="5" t="s">
        <v>16</v>
      </c>
      <c r="C16" s="6" t="s">
        <v>62</v>
      </c>
      <c r="D16" s="7" t="s">
        <v>71</v>
      </c>
      <c r="E16" s="8" t="s">
        <v>72</v>
      </c>
      <c r="F16" s="9" t="n">
        <v>2</v>
      </c>
      <c r="G16" s="4" t="s">
        <v>73</v>
      </c>
      <c r="H16" s="9" t="s">
        <v>21</v>
      </c>
      <c r="I16" s="10" t="s">
        <v>22</v>
      </c>
      <c r="J16" s="11"/>
      <c r="K16" s="11"/>
      <c r="L16" s="12" t="n">
        <v>0</v>
      </c>
      <c r="M16" s="13" t="s">
        <v>74</v>
      </c>
      <c r="N16" s="14" t="s">
        <v>75</v>
      </c>
    </row>
    <row r="17" customFormat="false" ht="27.75" hidden="false" customHeight="true" outlineLevel="0" collapsed="false">
      <c r="A17" s="15" t="n">
        <v>14</v>
      </c>
      <c r="B17" s="5" t="s">
        <v>16</v>
      </c>
      <c r="C17" s="16" t="s">
        <v>62</v>
      </c>
      <c r="D17" s="17" t="s">
        <v>76</v>
      </c>
      <c r="E17" s="18" t="s">
        <v>77</v>
      </c>
      <c r="F17" s="19" t="n">
        <v>0.5</v>
      </c>
      <c r="G17" s="15" t="s">
        <v>78</v>
      </c>
      <c r="H17" s="19" t="s">
        <v>21</v>
      </c>
      <c r="I17" s="20" t="s">
        <v>22</v>
      </c>
      <c r="J17" s="21"/>
      <c r="K17" s="21"/>
      <c r="L17" s="22" t="n">
        <v>0</v>
      </c>
      <c r="M17" s="23" t="s">
        <v>79</v>
      </c>
      <c r="N17" s="24"/>
    </row>
    <row r="18" customFormat="false" ht="27.75" hidden="false" customHeight="true" outlineLevel="0" collapsed="false">
      <c r="A18" s="4" t="n">
        <v>15</v>
      </c>
      <c r="B18" s="5" t="s">
        <v>16</v>
      </c>
      <c r="C18" s="6" t="s">
        <v>80</v>
      </c>
      <c r="D18" s="7" t="s">
        <v>81</v>
      </c>
      <c r="E18" s="8" t="s">
        <v>82</v>
      </c>
      <c r="F18" s="9" t="n">
        <v>1</v>
      </c>
      <c r="G18" s="4" t="s">
        <v>20</v>
      </c>
      <c r="H18" s="9" t="s">
        <v>21</v>
      </c>
      <c r="I18" s="10" t="s">
        <v>22</v>
      </c>
      <c r="J18" s="11"/>
      <c r="K18" s="11"/>
      <c r="L18" s="12" t="n">
        <v>0</v>
      </c>
      <c r="M18" s="13" t="s">
        <v>83</v>
      </c>
      <c r="N18" s="14" t="s">
        <v>84</v>
      </c>
    </row>
    <row r="19" customFormat="false" ht="27.75" hidden="false" customHeight="true" outlineLevel="0" collapsed="false">
      <c r="A19" s="15" t="n">
        <v>16</v>
      </c>
      <c r="B19" s="5" t="s">
        <v>16</v>
      </c>
      <c r="C19" s="16" t="s">
        <v>80</v>
      </c>
      <c r="D19" s="17" t="s">
        <v>85</v>
      </c>
      <c r="E19" s="18" t="s">
        <v>86</v>
      </c>
      <c r="F19" s="19" t="n">
        <v>1</v>
      </c>
      <c r="G19" s="15" t="s">
        <v>87</v>
      </c>
      <c r="H19" s="19" t="s">
        <v>21</v>
      </c>
      <c r="I19" s="20" t="s">
        <v>22</v>
      </c>
      <c r="J19" s="21"/>
      <c r="K19" s="21"/>
      <c r="L19" s="22" t="n">
        <v>0</v>
      </c>
      <c r="M19" s="23" t="s">
        <v>88</v>
      </c>
      <c r="N19" s="24" t="s">
        <v>89</v>
      </c>
    </row>
    <row r="20" customFormat="false" ht="27.75" hidden="false" customHeight="true" outlineLevel="0" collapsed="false">
      <c r="A20" s="4" t="n">
        <v>17</v>
      </c>
      <c r="B20" s="5" t="s">
        <v>16</v>
      </c>
      <c r="C20" s="6" t="s">
        <v>80</v>
      </c>
      <c r="D20" s="7" t="s">
        <v>90</v>
      </c>
      <c r="E20" s="8" t="s">
        <v>91</v>
      </c>
      <c r="F20" s="9" t="n">
        <v>2</v>
      </c>
      <c r="G20" s="4" t="s">
        <v>92</v>
      </c>
      <c r="H20" s="9" t="s">
        <v>21</v>
      </c>
      <c r="I20" s="10" t="s">
        <v>22</v>
      </c>
      <c r="J20" s="11"/>
      <c r="K20" s="11"/>
      <c r="L20" s="12" t="n">
        <v>0</v>
      </c>
      <c r="M20" s="13" t="s">
        <v>93</v>
      </c>
      <c r="N20" s="14" t="s">
        <v>94</v>
      </c>
    </row>
    <row r="21" customFormat="false" ht="27.75" hidden="false" customHeight="true" outlineLevel="0" collapsed="false">
      <c r="A21" s="15" t="n">
        <v>18</v>
      </c>
      <c r="B21" s="5" t="s">
        <v>16</v>
      </c>
      <c r="C21" s="16" t="s">
        <v>95</v>
      </c>
      <c r="D21" s="17" t="s">
        <v>96</v>
      </c>
      <c r="E21" s="18" t="s">
        <v>97</v>
      </c>
      <c r="F21" s="19" t="n">
        <v>2</v>
      </c>
      <c r="G21" s="15" t="s">
        <v>54</v>
      </c>
      <c r="H21" s="19" t="s">
        <v>21</v>
      </c>
      <c r="I21" s="20" t="s">
        <v>22</v>
      </c>
      <c r="J21" s="21"/>
      <c r="K21" s="21"/>
      <c r="L21" s="22" t="n">
        <v>0</v>
      </c>
      <c r="M21" s="23" t="s">
        <v>98</v>
      </c>
      <c r="N21" s="24" t="s">
        <v>99</v>
      </c>
    </row>
    <row r="22" customFormat="false" ht="27.75" hidden="false" customHeight="true" outlineLevel="0" collapsed="false">
      <c r="A22" s="4" t="n">
        <v>19</v>
      </c>
      <c r="B22" s="5" t="s">
        <v>16</v>
      </c>
      <c r="C22" s="6" t="s">
        <v>95</v>
      </c>
      <c r="D22" s="7" t="s">
        <v>100</v>
      </c>
      <c r="E22" s="8" t="s">
        <v>101</v>
      </c>
      <c r="F22" s="9" t="n">
        <v>1</v>
      </c>
      <c r="G22" s="4" t="s">
        <v>102</v>
      </c>
      <c r="H22" s="9" t="s">
        <v>21</v>
      </c>
      <c r="I22" s="10" t="s">
        <v>22</v>
      </c>
      <c r="J22" s="11"/>
      <c r="K22" s="11"/>
      <c r="L22" s="12" t="n">
        <v>0</v>
      </c>
      <c r="M22" s="13" t="s">
        <v>103</v>
      </c>
      <c r="N22" s="14" t="s">
        <v>104</v>
      </c>
    </row>
    <row r="23" customFormat="false" ht="27.75" hidden="false" customHeight="true" outlineLevel="0" collapsed="false">
      <c r="A23" s="15" t="n">
        <v>20</v>
      </c>
      <c r="B23" s="5" t="s">
        <v>16</v>
      </c>
      <c r="C23" s="16" t="s">
        <v>95</v>
      </c>
      <c r="D23" s="17" t="s">
        <v>105</v>
      </c>
      <c r="E23" s="18" t="s">
        <v>106</v>
      </c>
      <c r="F23" s="19" t="n">
        <v>0.5</v>
      </c>
      <c r="G23" s="15" t="s">
        <v>20</v>
      </c>
      <c r="H23" s="19" t="s">
        <v>21</v>
      </c>
      <c r="I23" s="25" t="s">
        <v>60</v>
      </c>
      <c r="J23" s="21"/>
      <c r="K23" s="21"/>
      <c r="L23" s="22" t="n">
        <v>0</v>
      </c>
      <c r="M23" s="23" t="s">
        <v>107</v>
      </c>
      <c r="N23" s="24" t="s">
        <v>108</v>
      </c>
    </row>
    <row r="24" customFormat="false" ht="27.75" hidden="false" customHeight="true" outlineLevel="0" collapsed="false">
      <c r="A24" s="4" t="n">
        <v>21</v>
      </c>
      <c r="B24" s="5" t="s">
        <v>16</v>
      </c>
      <c r="C24" s="6" t="s">
        <v>95</v>
      </c>
      <c r="D24" s="7" t="s">
        <v>109</v>
      </c>
      <c r="E24" s="8" t="s">
        <v>110</v>
      </c>
      <c r="F24" s="9" t="n">
        <v>0.5</v>
      </c>
      <c r="G24" s="4" t="s">
        <v>111</v>
      </c>
      <c r="H24" s="9" t="s">
        <v>21</v>
      </c>
      <c r="I24" s="26" t="s">
        <v>60</v>
      </c>
      <c r="J24" s="11"/>
      <c r="K24" s="11"/>
      <c r="L24" s="12" t="n">
        <v>0</v>
      </c>
      <c r="M24" s="13" t="s">
        <v>112</v>
      </c>
      <c r="N24" s="14"/>
    </row>
    <row r="25" customFormat="false" ht="27.75" hidden="false" customHeight="true" outlineLevel="0" collapsed="false">
      <c r="A25" s="15" t="n">
        <v>22</v>
      </c>
      <c r="B25" s="5" t="s">
        <v>16</v>
      </c>
      <c r="C25" s="16" t="s">
        <v>113</v>
      </c>
      <c r="D25" s="17" t="s">
        <v>114</v>
      </c>
      <c r="E25" s="18" t="s">
        <v>115</v>
      </c>
      <c r="F25" s="19" t="n">
        <v>1</v>
      </c>
      <c r="G25" s="15" t="s">
        <v>20</v>
      </c>
      <c r="H25" s="19" t="s">
        <v>21</v>
      </c>
      <c r="I25" s="20" t="s">
        <v>22</v>
      </c>
      <c r="J25" s="21"/>
      <c r="K25" s="21"/>
      <c r="L25" s="22" t="n">
        <v>0</v>
      </c>
      <c r="M25" s="23" t="s">
        <v>116</v>
      </c>
      <c r="N25" s="24" t="s">
        <v>117</v>
      </c>
    </row>
    <row r="26" customFormat="false" ht="27.75" hidden="false" customHeight="true" outlineLevel="0" collapsed="false">
      <c r="A26" s="4" t="n">
        <v>23</v>
      </c>
      <c r="B26" s="5" t="s">
        <v>16</v>
      </c>
      <c r="C26" s="6" t="s">
        <v>113</v>
      </c>
      <c r="D26" s="7" t="s">
        <v>118</v>
      </c>
      <c r="E26" s="8" t="s">
        <v>119</v>
      </c>
      <c r="F26" s="9" t="n">
        <v>0.5</v>
      </c>
      <c r="G26" s="4" t="s">
        <v>20</v>
      </c>
      <c r="H26" s="9" t="s">
        <v>21</v>
      </c>
      <c r="I26" s="26" t="s">
        <v>60</v>
      </c>
      <c r="J26" s="11"/>
      <c r="K26" s="11"/>
      <c r="L26" s="12" t="n">
        <v>0</v>
      </c>
      <c r="M26" s="13" t="s">
        <v>120</v>
      </c>
      <c r="N26" s="14" t="s">
        <v>121</v>
      </c>
    </row>
    <row r="27" customFormat="false" ht="27.75" hidden="false" customHeight="true" outlineLevel="0" collapsed="false">
      <c r="A27" s="15" t="n">
        <v>24</v>
      </c>
      <c r="B27" s="5" t="s">
        <v>16</v>
      </c>
      <c r="C27" s="16" t="s">
        <v>113</v>
      </c>
      <c r="D27" s="17" t="s">
        <v>122</v>
      </c>
      <c r="E27" s="18" t="s">
        <v>123</v>
      </c>
      <c r="F27" s="19" t="n">
        <v>2</v>
      </c>
      <c r="G27" s="15" t="s">
        <v>124</v>
      </c>
      <c r="H27" s="19" t="s">
        <v>21</v>
      </c>
      <c r="I27" s="20" t="s">
        <v>22</v>
      </c>
      <c r="J27" s="21"/>
      <c r="K27" s="21"/>
      <c r="L27" s="22" t="n">
        <v>0</v>
      </c>
      <c r="M27" s="23" t="s">
        <v>125</v>
      </c>
      <c r="N27" s="24" t="s">
        <v>126</v>
      </c>
    </row>
    <row r="28" customFormat="false" ht="27.75" hidden="false" customHeight="true" outlineLevel="0" collapsed="false">
      <c r="A28" s="4" t="n">
        <v>25</v>
      </c>
      <c r="B28" s="5" t="s">
        <v>16</v>
      </c>
      <c r="C28" s="6" t="s">
        <v>113</v>
      </c>
      <c r="D28" s="7" t="s">
        <v>127</v>
      </c>
      <c r="E28" s="8" t="s">
        <v>128</v>
      </c>
      <c r="F28" s="9" t="n">
        <v>1</v>
      </c>
      <c r="G28" s="4" t="s">
        <v>20</v>
      </c>
      <c r="H28" s="9" t="s">
        <v>21</v>
      </c>
      <c r="I28" s="26" t="s">
        <v>60</v>
      </c>
      <c r="J28" s="11"/>
      <c r="K28" s="11"/>
      <c r="L28" s="12" t="n">
        <v>0</v>
      </c>
      <c r="M28" s="13" t="s">
        <v>129</v>
      </c>
      <c r="N28" s="14"/>
    </row>
    <row r="29" customFormat="false" ht="27.75" hidden="false" customHeight="true" outlineLevel="0" collapsed="false">
      <c r="A29" s="15" t="n">
        <v>26</v>
      </c>
      <c r="B29" s="5" t="s">
        <v>16</v>
      </c>
      <c r="C29" s="16" t="s">
        <v>113</v>
      </c>
      <c r="D29" s="17" t="s">
        <v>130</v>
      </c>
      <c r="E29" s="18" t="s">
        <v>131</v>
      </c>
      <c r="F29" s="19" t="n">
        <v>0.5</v>
      </c>
      <c r="G29" s="15" t="s">
        <v>132</v>
      </c>
      <c r="H29" s="19" t="s">
        <v>21</v>
      </c>
      <c r="I29" s="20" t="s">
        <v>22</v>
      </c>
      <c r="J29" s="21"/>
      <c r="K29" s="21"/>
      <c r="L29" s="22" t="n">
        <v>0</v>
      </c>
      <c r="M29" s="23" t="s">
        <v>133</v>
      </c>
      <c r="N29" s="24"/>
    </row>
    <row r="30" customFormat="false" ht="27.75" hidden="false" customHeight="true" outlineLevel="0" collapsed="false">
      <c r="A30" s="4" t="n">
        <v>27</v>
      </c>
      <c r="B30" s="5" t="s">
        <v>16</v>
      </c>
      <c r="C30" s="6" t="s">
        <v>134</v>
      </c>
      <c r="D30" s="7" t="s">
        <v>135</v>
      </c>
      <c r="E30" s="8" t="s">
        <v>136</v>
      </c>
      <c r="F30" s="9" t="n">
        <v>0.5</v>
      </c>
      <c r="G30" s="4" t="s">
        <v>20</v>
      </c>
      <c r="H30" s="9" t="s">
        <v>21</v>
      </c>
      <c r="I30" s="26" t="s">
        <v>60</v>
      </c>
      <c r="J30" s="11"/>
      <c r="K30" s="11"/>
      <c r="L30" s="12" t="n">
        <v>0</v>
      </c>
      <c r="M30" s="13" t="s">
        <v>137</v>
      </c>
      <c r="N30" s="14" t="s">
        <v>138</v>
      </c>
    </row>
    <row r="31" customFormat="false" ht="27.75" hidden="false" customHeight="true" outlineLevel="0" collapsed="false">
      <c r="A31" s="15" t="n">
        <v>28</v>
      </c>
      <c r="B31" s="5" t="s">
        <v>16</v>
      </c>
      <c r="C31" s="16" t="s">
        <v>134</v>
      </c>
      <c r="D31" s="17" t="s">
        <v>139</v>
      </c>
      <c r="E31" s="18" t="s">
        <v>140</v>
      </c>
      <c r="F31" s="19" t="n">
        <v>3</v>
      </c>
      <c r="G31" s="15" t="s">
        <v>141</v>
      </c>
      <c r="H31" s="19" t="s">
        <v>21</v>
      </c>
      <c r="I31" s="20" t="s">
        <v>22</v>
      </c>
      <c r="J31" s="21"/>
      <c r="K31" s="21"/>
      <c r="L31" s="22" t="n">
        <v>0</v>
      </c>
      <c r="M31" s="23" t="s">
        <v>142</v>
      </c>
      <c r="N31" s="24" t="s">
        <v>143</v>
      </c>
    </row>
    <row r="32" customFormat="false" ht="27.75" hidden="false" customHeight="true" outlineLevel="0" collapsed="false">
      <c r="A32" s="4" t="n">
        <v>29</v>
      </c>
      <c r="B32" s="5" t="s">
        <v>16</v>
      </c>
      <c r="C32" s="6" t="s">
        <v>134</v>
      </c>
      <c r="D32" s="7" t="s">
        <v>144</v>
      </c>
      <c r="E32" s="8" t="s">
        <v>145</v>
      </c>
      <c r="F32" s="9" t="n">
        <v>1</v>
      </c>
      <c r="G32" s="4" t="s">
        <v>146</v>
      </c>
      <c r="H32" s="9" t="s">
        <v>21</v>
      </c>
      <c r="I32" s="26" t="s">
        <v>60</v>
      </c>
      <c r="J32" s="11"/>
      <c r="K32" s="11"/>
      <c r="L32" s="12" t="n">
        <v>0</v>
      </c>
      <c r="M32" s="13" t="s">
        <v>147</v>
      </c>
      <c r="N32" s="14"/>
    </row>
    <row r="33" customFormat="false" ht="27.75" hidden="false" customHeight="true" outlineLevel="0" collapsed="false">
      <c r="A33" s="15" t="n">
        <v>30</v>
      </c>
      <c r="B33" s="5" t="s">
        <v>16</v>
      </c>
      <c r="C33" s="16" t="s">
        <v>134</v>
      </c>
      <c r="D33" s="17" t="s">
        <v>148</v>
      </c>
      <c r="E33" s="18" t="s">
        <v>149</v>
      </c>
      <c r="F33" s="19" t="n">
        <v>0.5</v>
      </c>
      <c r="G33" s="15" t="s">
        <v>150</v>
      </c>
      <c r="H33" s="19" t="s">
        <v>21</v>
      </c>
      <c r="I33" s="25" t="s">
        <v>60</v>
      </c>
      <c r="J33" s="21"/>
      <c r="K33" s="21"/>
      <c r="L33" s="22" t="n">
        <v>0</v>
      </c>
      <c r="M33" s="23" t="s">
        <v>151</v>
      </c>
      <c r="N33" s="24" t="s">
        <v>152</v>
      </c>
    </row>
    <row r="34" customFormat="false" ht="27.75" hidden="false" customHeight="true" outlineLevel="0" collapsed="false">
      <c r="A34" s="4" t="n">
        <v>31</v>
      </c>
      <c r="B34" s="5" t="s">
        <v>16</v>
      </c>
      <c r="C34" s="6" t="s">
        <v>153</v>
      </c>
      <c r="D34" s="7" t="s">
        <v>154</v>
      </c>
      <c r="E34" s="8" t="s">
        <v>155</v>
      </c>
      <c r="F34" s="9" t="n">
        <v>0.5</v>
      </c>
      <c r="G34" s="4" t="s">
        <v>20</v>
      </c>
      <c r="H34" s="9" t="s">
        <v>21</v>
      </c>
      <c r="I34" s="10" t="s">
        <v>22</v>
      </c>
      <c r="J34" s="11"/>
      <c r="K34" s="11"/>
      <c r="L34" s="12" t="n">
        <v>0</v>
      </c>
      <c r="M34" s="13" t="s">
        <v>156</v>
      </c>
      <c r="N34" s="14" t="s">
        <v>157</v>
      </c>
    </row>
    <row r="35" customFormat="false" ht="27.75" hidden="false" customHeight="true" outlineLevel="0" collapsed="false">
      <c r="A35" s="15" t="n">
        <v>32</v>
      </c>
      <c r="B35" s="5" t="s">
        <v>16</v>
      </c>
      <c r="C35" s="16" t="s">
        <v>153</v>
      </c>
      <c r="D35" s="17" t="s">
        <v>158</v>
      </c>
      <c r="E35" s="18" t="s">
        <v>159</v>
      </c>
      <c r="F35" s="19" t="n">
        <v>3</v>
      </c>
      <c r="G35" s="15" t="s">
        <v>160</v>
      </c>
      <c r="H35" s="19" t="s">
        <v>21</v>
      </c>
      <c r="I35" s="20" t="s">
        <v>22</v>
      </c>
      <c r="J35" s="21"/>
      <c r="K35" s="21"/>
      <c r="L35" s="22" t="n">
        <v>0</v>
      </c>
      <c r="M35" s="23" t="s">
        <v>161</v>
      </c>
      <c r="N35" s="24" t="s">
        <v>162</v>
      </c>
    </row>
    <row r="36" customFormat="false" ht="27.75" hidden="false" customHeight="true" outlineLevel="0" collapsed="false">
      <c r="A36" s="4" t="n">
        <v>33</v>
      </c>
      <c r="B36" s="5" t="s">
        <v>16</v>
      </c>
      <c r="C36" s="6" t="s">
        <v>153</v>
      </c>
      <c r="D36" s="7" t="s">
        <v>163</v>
      </c>
      <c r="E36" s="8" t="s">
        <v>164</v>
      </c>
      <c r="F36" s="9" t="n">
        <v>2</v>
      </c>
      <c r="G36" s="4" t="s">
        <v>146</v>
      </c>
      <c r="H36" s="9" t="s">
        <v>21</v>
      </c>
      <c r="I36" s="10" t="s">
        <v>22</v>
      </c>
      <c r="J36" s="11"/>
      <c r="K36" s="11"/>
      <c r="L36" s="12" t="n">
        <v>0</v>
      </c>
      <c r="M36" s="13" t="s">
        <v>165</v>
      </c>
      <c r="N36" s="14" t="s">
        <v>166</v>
      </c>
    </row>
    <row r="37" customFormat="false" ht="27.75" hidden="false" customHeight="true" outlineLevel="0" collapsed="false">
      <c r="A37" s="15" t="n">
        <v>34</v>
      </c>
      <c r="B37" s="5" t="s">
        <v>16</v>
      </c>
      <c r="C37" s="16" t="s">
        <v>153</v>
      </c>
      <c r="D37" s="17" t="s">
        <v>167</v>
      </c>
      <c r="E37" s="18" t="s">
        <v>168</v>
      </c>
      <c r="F37" s="19" t="n">
        <v>1</v>
      </c>
      <c r="G37" s="15" t="s">
        <v>20</v>
      </c>
      <c r="H37" s="19" t="s">
        <v>21</v>
      </c>
      <c r="I37" s="25" t="s">
        <v>60</v>
      </c>
      <c r="J37" s="21"/>
      <c r="K37" s="21"/>
      <c r="L37" s="22" t="n">
        <v>0</v>
      </c>
      <c r="M37" s="23" t="s">
        <v>169</v>
      </c>
      <c r="N37" s="24" t="s">
        <v>170</v>
      </c>
    </row>
    <row r="38" customFormat="false" ht="27.75" hidden="false" customHeight="true" outlineLevel="0" collapsed="false">
      <c r="A38" s="4" t="n">
        <v>35</v>
      </c>
      <c r="B38" s="5" t="s">
        <v>16</v>
      </c>
      <c r="C38" s="6" t="s">
        <v>153</v>
      </c>
      <c r="D38" s="7" t="s">
        <v>171</v>
      </c>
      <c r="E38" s="8" t="s">
        <v>172</v>
      </c>
      <c r="F38" s="9" t="n">
        <v>1.5</v>
      </c>
      <c r="G38" s="4" t="s">
        <v>146</v>
      </c>
      <c r="H38" s="9" t="s">
        <v>21</v>
      </c>
      <c r="I38" s="10" t="s">
        <v>22</v>
      </c>
      <c r="J38" s="11"/>
      <c r="K38" s="11"/>
      <c r="L38" s="12" t="n">
        <v>0</v>
      </c>
      <c r="M38" s="13" t="s">
        <v>173</v>
      </c>
      <c r="N38" s="14" t="s">
        <v>174</v>
      </c>
    </row>
    <row r="39" customFormat="false" ht="27.75" hidden="false" customHeight="true" outlineLevel="0" collapsed="false">
      <c r="A39" s="15" t="n">
        <v>36</v>
      </c>
      <c r="B39" s="5" t="s">
        <v>16</v>
      </c>
      <c r="C39" s="16" t="s">
        <v>153</v>
      </c>
      <c r="D39" s="17" t="s">
        <v>175</v>
      </c>
      <c r="E39" s="18" t="s">
        <v>176</v>
      </c>
      <c r="F39" s="19" t="n">
        <v>1</v>
      </c>
      <c r="G39" s="15" t="s">
        <v>146</v>
      </c>
      <c r="H39" s="19" t="s">
        <v>21</v>
      </c>
      <c r="I39" s="20" t="s">
        <v>22</v>
      </c>
      <c r="J39" s="21"/>
      <c r="K39" s="21"/>
      <c r="L39" s="22" t="n">
        <v>0</v>
      </c>
      <c r="M39" s="23" t="s">
        <v>177</v>
      </c>
      <c r="N39" s="24"/>
    </row>
    <row r="40" customFormat="false" ht="27.75" hidden="false" customHeight="true" outlineLevel="0" collapsed="false">
      <c r="A40" s="4" t="n">
        <v>37</v>
      </c>
      <c r="B40" s="5" t="s">
        <v>16</v>
      </c>
      <c r="C40" s="6" t="s">
        <v>153</v>
      </c>
      <c r="D40" s="7" t="s">
        <v>178</v>
      </c>
      <c r="E40" s="8" t="s">
        <v>179</v>
      </c>
      <c r="F40" s="9" t="n">
        <v>0.5</v>
      </c>
      <c r="G40" s="4" t="s">
        <v>160</v>
      </c>
      <c r="H40" s="9" t="s">
        <v>21</v>
      </c>
      <c r="I40" s="26" t="s">
        <v>60</v>
      </c>
      <c r="J40" s="11"/>
      <c r="K40" s="11"/>
      <c r="L40" s="12" t="n">
        <v>0</v>
      </c>
      <c r="M40" s="13" t="s">
        <v>180</v>
      </c>
      <c r="N40" s="14" t="s">
        <v>181</v>
      </c>
    </row>
    <row r="41" customFormat="false" ht="27.75" hidden="false" customHeight="true" outlineLevel="0" collapsed="false">
      <c r="A41" s="15" t="n">
        <v>38</v>
      </c>
      <c r="B41" s="5" t="s">
        <v>16</v>
      </c>
      <c r="C41" s="16" t="s">
        <v>153</v>
      </c>
      <c r="D41" s="17" t="s">
        <v>182</v>
      </c>
      <c r="E41" s="18" t="s">
        <v>159</v>
      </c>
      <c r="F41" s="19" t="n">
        <v>1</v>
      </c>
      <c r="G41" s="15" t="s">
        <v>183</v>
      </c>
      <c r="H41" s="19" t="s">
        <v>21</v>
      </c>
      <c r="I41" s="25" t="s">
        <v>60</v>
      </c>
      <c r="J41" s="21"/>
      <c r="K41" s="21"/>
      <c r="L41" s="22" t="n">
        <v>0</v>
      </c>
      <c r="M41" s="23" t="s">
        <v>184</v>
      </c>
      <c r="N41" s="24"/>
    </row>
    <row r="42" customFormat="false" ht="27.75" hidden="false" customHeight="true" outlineLevel="0" collapsed="false">
      <c r="A42" s="4" t="n">
        <v>39</v>
      </c>
      <c r="B42" s="5" t="s">
        <v>16</v>
      </c>
      <c r="C42" s="6" t="s">
        <v>185</v>
      </c>
      <c r="D42" s="7" t="s">
        <v>186</v>
      </c>
      <c r="E42" s="8" t="s">
        <v>106</v>
      </c>
      <c r="F42" s="9" t="n">
        <v>0.5</v>
      </c>
      <c r="G42" s="4" t="s">
        <v>187</v>
      </c>
      <c r="H42" s="9" t="s">
        <v>21</v>
      </c>
      <c r="I42" s="26" t="s">
        <v>60</v>
      </c>
      <c r="J42" s="11"/>
      <c r="K42" s="11"/>
      <c r="L42" s="12" t="n">
        <v>0</v>
      </c>
      <c r="M42" s="13" t="s">
        <v>188</v>
      </c>
      <c r="N42" s="14"/>
    </row>
    <row r="43" customFormat="false" ht="27.75" hidden="false" customHeight="true" outlineLevel="0" collapsed="false">
      <c r="A43" s="15" t="n">
        <v>40</v>
      </c>
      <c r="B43" s="5" t="s">
        <v>16</v>
      </c>
      <c r="C43" s="16" t="s">
        <v>185</v>
      </c>
      <c r="D43" s="17" t="s">
        <v>189</v>
      </c>
      <c r="E43" s="18" t="s">
        <v>190</v>
      </c>
      <c r="F43" s="19" t="n">
        <v>1</v>
      </c>
      <c r="G43" s="15" t="s">
        <v>160</v>
      </c>
      <c r="H43" s="19" t="s">
        <v>21</v>
      </c>
      <c r="I43" s="25" t="s">
        <v>60</v>
      </c>
      <c r="J43" s="21"/>
      <c r="K43" s="21"/>
      <c r="L43" s="22" t="n">
        <v>0</v>
      </c>
      <c r="M43" s="23" t="s">
        <v>191</v>
      </c>
      <c r="N43" s="24"/>
    </row>
    <row r="44" customFormat="false" ht="27.75" hidden="false" customHeight="true" outlineLevel="0" collapsed="false">
      <c r="A44" s="4" t="n">
        <v>41</v>
      </c>
      <c r="B44" s="5" t="s">
        <v>16</v>
      </c>
      <c r="C44" s="6" t="s">
        <v>185</v>
      </c>
      <c r="D44" s="7" t="s">
        <v>192</v>
      </c>
      <c r="E44" s="8" t="s">
        <v>193</v>
      </c>
      <c r="F44" s="9" t="n">
        <v>0.5</v>
      </c>
      <c r="G44" s="4" t="s">
        <v>20</v>
      </c>
      <c r="H44" s="9" t="s">
        <v>21</v>
      </c>
      <c r="I44" s="26" t="s">
        <v>60</v>
      </c>
      <c r="J44" s="11"/>
      <c r="K44" s="11"/>
      <c r="L44" s="12" t="n">
        <v>0</v>
      </c>
      <c r="M44" s="13" t="s">
        <v>194</v>
      </c>
      <c r="N44" s="14"/>
    </row>
    <row r="45" customFormat="false" ht="27.75" hidden="false" customHeight="true" outlineLevel="0" collapsed="false">
      <c r="A45" s="15" t="n">
        <v>42</v>
      </c>
      <c r="B45" s="27" t="s">
        <v>195</v>
      </c>
      <c r="C45" s="16" t="s">
        <v>196</v>
      </c>
      <c r="D45" s="17" t="s">
        <v>197</v>
      </c>
      <c r="E45" s="18" t="s">
        <v>198</v>
      </c>
      <c r="F45" s="19" t="n">
        <v>2.5</v>
      </c>
      <c r="G45" s="15" t="s">
        <v>16</v>
      </c>
      <c r="H45" s="19" t="s">
        <v>21</v>
      </c>
      <c r="I45" s="20" t="s">
        <v>22</v>
      </c>
      <c r="J45" s="21"/>
      <c r="K45" s="21"/>
      <c r="L45" s="22" t="n">
        <v>0</v>
      </c>
      <c r="M45" s="23" t="s">
        <v>199</v>
      </c>
      <c r="N45" s="24" t="s">
        <v>200</v>
      </c>
    </row>
    <row r="46" customFormat="false" ht="27.75" hidden="false" customHeight="true" outlineLevel="0" collapsed="false">
      <c r="A46" s="4" t="n">
        <v>43</v>
      </c>
      <c r="B46" s="27" t="s">
        <v>195</v>
      </c>
      <c r="C46" s="6" t="s">
        <v>196</v>
      </c>
      <c r="D46" s="7" t="s">
        <v>201</v>
      </c>
      <c r="E46" s="8" t="s">
        <v>202</v>
      </c>
      <c r="F46" s="9" t="n">
        <v>0.5</v>
      </c>
      <c r="G46" s="4" t="s">
        <v>20</v>
      </c>
      <c r="H46" s="9" t="s">
        <v>21</v>
      </c>
      <c r="I46" s="26" t="s">
        <v>60</v>
      </c>
      <c r="J46" s="11"/>
      <c r="K46" s="11"/>
      <c r="L46" s="12" t="n">
        <v>0</v>
      </c>
      <c r="M46" s="13" t="s">
        <v>203</v>
      </c>
      <c r="N46" s="14"/>
    </row>
    <row r="47" customFormat="false" ht="27.75" hidden="false" customHeight="true" outlineLevel="0" collapsed="false">
      <c r="A47" s="15" t="n">
        <v>44</v>
      </c>
      <c r="B47" s="27" t="s">
        <v>195</v>
      </c>
      <c r="C47" s="16" t="s">
        <v>196</v>
      </c>
      <c r="D47" s="17" t="s">
        <v>204</v>
      </c>
      <c r="E47" s="18" t="s">
        <v>205</v>
      </c>
      <c r="F47" s="19" t="n">
        <v>0.5</v>
      </c>
      <c r="G47" s="15" t="s">
        <v>206</v>
      </c>
      <c r="H47" s="19" t="s">
        <v>21</v>
      </c>
      <c r="I47" s="25" t="s">
        <v>60</v>
      </c>
      <c r="J47" s="21"/>
      <c r="K47" s="21"/>
      <c r="L47" s="22" t="n">
        <v>0</v>
      </c>
      <c r="M47" s="23" t="s">
        <v>207</v>
      </c>
      <c r="N47" s="24"/>
    </row>
    <row r="48" customFormat="false" ht="27.75" hidden="false" customHeight="true" outlineLevel="0" collapsed="false">
      <c r="A48" s="4" t="n">
        <v>45</v>
      </c>
      <c r="B48" s="27" t="s">
        <v>195</v>
      </c>
      <c r="C48" s="6" t="s">
        <v>208</v>
      </c>
      <c r="D48" s="7" t="s">
        <v>209</v>
      </c>
      <c r="E48" s="8" t="s">
        <v>210</v>
      </c>
      <c r="F48" s="9" t="n">
        <v>2.5</v>
      </c>
      <c r="G48" s="4" t="s">
        <v>16</v>
      </c>
      <c r="H48" s="9" t="s">
        <v>21</v>
      </c>
      <c r="I48" s="10" t="s">
        <v>22</v>
      </c>
      <c r="J48" s="11"/>
      <c r="K48" s="11"/>
      <c r="L48" s="12" t="n">
        <v>0</v>
      </c>
      <c r="M48" s="13" t="s">
        <v>211</v>
      </c>
      <c r="N48" s="14" t="s">
        <v>212</v>
      </c>
    </row>
    <row r="49" customFormat="false" ht="27.75" hidden="false" customHeight="true" outlineLevel="0" collapsed="false">
      <c r="A49" s="15" t="n">
        <v>46</v>
      </c>
      <c r="B49" s="27" t="s">
        <v>195</v>
      </c>
      <c r="C49" s="16" t="s">
        <v>208</v>
      </c>
      <c r="D49" s="17" t="s">
        <v>213</v>
      </c>
      <c r="E49" s="18" t="s">
        <v>214</v>
      </c>
      <c r="F49" s="19" t="n">
        <v>0.5</v>
      </c>
      <c r="G49" s="15" t="s">
        <v>20</v>
      </c>
      <c r="H49" s="19" t="s">
        <v>21</v>
      </c>
      <c r="I49" s="25" t="s">
        <v>60</v>
      </c>
      <c r="J49" s="21"/>
      <c r="K49" s="21"/>
      <c r="L49" s="22" t="n">
        <v>0</v>
      </c>
      <c r="M49" s="23" t="s">
        <v>215</v>
      </c>
      <c r="N49" s="24"/>
    </row>
    <row r="50" customFormat="false" ht="27.75" hidden="false" customHeight="true" outlineLevel="0" collapsed="false">
      <c r="A50" s="4" t="n">
        <v>47</v>
      </c>
      <c r="B50" s="27" t="s">
        <v>195</v>
      </c>
      <c r="C50" s="6" t="s">
        <v>208</v>
      </c>
      <c r="D50" s="7" t="s">
        <v>216</v>
      </c>
      <c r="E50" s="8" t="s">
        <v>205</v>
      </c>
      <c r="F50" s="9" t="n">
        <v>0.5</v>
      </c>
      <c r="G50" s="4" t="s">
        <v>217</v>
      </c>
      <c r="H50" s="9" t="s">
        <v>21</v>
      </c>
      <c r="I50" s="26" t="s">
        <v>60</v>
      </c>
      <c r="J50" s="11"/>
      <c r="K50" s="11"/>
      <c r="L50" s="12" t="n">
        <v>0</v>
      </c>
      <c r="M50" s="13" t="s">
        <v>207</v>
      </c>
      <c r="N50" s="14"/>
    </row>
    <row r="51" customFormat="false" ht="27.75" hidden="false" customHeight="true" outlineLevel="0" collapsed="false">
      <c r="A51" s="15" t="n">
        <v>48</v>
      </c>
      <c r="B51" s="27" t="s">
        <v>195</v>
      </c>
      <c r="C51" s="16" t="s">
        <v>218</v>
      </c>
      <c r="D51" s="17" t="s">
        <v>219</v>
      </c>
      <c r="E51" s="18" t="s">
        <v>220</v>
      </c>
      <c r="F51" s="19" t="n">
        <v>3</v>
      </c>
      <c r="G51" s="15" t="s">
        <v>221</v>
      </c>
      <c r="H51" s="19" t="s">
        <v>21</v>
      </c>
      <c r="I51" s="20" t="s">
        <v>22</v>
      </c>
      <c r="J51" s="21"/>
      <c r="K51" s="21"/>
      <c r="L51" s="22" t="n">
        <v>0</v>
      </c>
      <c r="M51" s="23" t="s">
        <v>222</v>
      </c>
      <c r="N51" s="24" t="s">
        <v>223</v>
      </c>
    </row>
    <row r="52" customFormat="false" ht="27.75" hidden="false" customHeight="true" outlineLevel="0" collapsed="false">
      <c r="A52" s="4" t="n">
        <v>49</v>
      </c>
      <c r="B52" s="27" t="s">
        <v>195</v>
      </c>
      <c r="C52" s="6" t="s">
        <v>218</v>
      </c>
      <c r="D52" s="7" t="s">
        <v>224</v>
      </c>
      <c r="E52" s="8" t="s">
        <v>225</v>
      </c>
      <c r="F52" s="9" t="n">
        <v>1</v>
      </c>
      <c r="G52" s="4" t="s">
        <v>226</v>
      </c>
      <c r="H52" s="9" t="s">
        <v>21</v>
      </c>
      <c r="I52" s="10" t="s">
        <v>22</v>
      </c>
      <c r="J52" s="11"/>
      <c r="K52" s="11"/>
      <c r="L52" s="12" t="n">
        <v>0</v>
      </c>
      <c r="M52" s="13" t="s">
        <v>227</v>
      </c>
      <c r="N52" s="14"/>
    </row>
    <row r="53" customFormat="false" ht="27.75" hidden="false" customHeight="true" outlineLevel="0" collapsed="false">
      <c r="A53" s="15" t="n">
        <v>50</v>
      </c>
      <c r="B53" s="27" t="s">
        <v>195</v>
      </c>
      <c r="C53" s="16" t="s">
        <v>218</v>
      </c>
      <c r="D53" s="17" t="s">
        <v>228</v>
      </c>
      <c r="E53" s="18" t="s">
        <v>229</v>
      </c>
      <c r="F53" s="19" t="n">
        <v>2</v>
      </c>
      <c r="G53" s="15" t="s">
        <v>226</v>
      </c>
      <c r="H53" s="19" t="s">
        <v>21</v>
      </c>
      <c r="I53" s="25" t="s">
        <v>60</v>
      </c>
      <c r="J53" s="21"/>
      <c r="K53" s="21"/>
      <c r="L53" s="22" t="n">
        <v>0</v>
      </c>
      <c r="M53" s="23" t="s">
        <v>230</v>
      </c>
      <c r="N53" s="24"/>
    </row>
    <row r="54" customFormat="false" ht="27.75" hidden="false" customHeight="true" outlineLevel="0" collapsed="false">
      <c r="A54" s="4" t="n">
        <v>51</v>
      </c>
      <c r="B54" s="27" t="s">
        <v>195</v>
      </c>
      <c r="C54" s="6" t="s">
        <v>218</v>
      </c>
      <c r="D54" s="7" t="s">
        <v>231</v>
      </c>
      <c r="E54" s="8" t="s">
        <v>232</v>
      </c>
      <c r="F54" s="9" t="n">
        <v>1</v>
      </c>
      <c r="G54" s="4" t="s">
        <v>146</v>
      </c>
      <c r="H54" s="9" t="s">
        <v>21</v>
      </c>
      <c r="I54" s="10" t="s">
        <v>22</v>
      </c>
      <c r="J54" s="11"/>
      <c r="K54" s="11"/>
      <c r="L54" s="12" t="n">
        <v>0</v>
      </c>
      <c r="M54" s="13" t="s">
        <v>233</v>
      </c>
      <c r="N54" s="14"/>
    </row>
    <row r="55" customFormat="false" ht="27.75" hidden="false" customHeight="true" outlineLevel="0" collapsed="false">
      <c r="A55" s="15" t="n">
        <v>52</v>
      </c>
      <c r="B55" s="27" t="s">
        <v>195</v>
      </c>
      <c r="C55" s="16" t="s">
        <v>234</v>
      </c>
      <c r="D55" s="17" t="s">
        <v>235</v>
      </c>
      <c r="E55" s="18" t="s">
        <v>236</v>
      </c>
      <c r="F55" s="19" t="n">
        <v>3</v>
      </c>
      <c r="G55" s="15" t="s">
        <v>237</v>
      </c>
      <c r="H55" s="19" t="s">
        <v>21</v>
      </c>
      <c r="I55" s="20" t="s">
        <v>22</v>
      </c>
      <c r="J55" s="21"/>
      <c r="K55" s="21"/>
      <c r="L55" s="22" t="n">
        <v>0</v>
      </c>
      <c r="M55" s="23" t="s">
        <v>238</v>
      </c>
      <c r="N55" s="24" t="s">
        <v>239</v>
      </c>
    </row>
    <row r="56" customFormat="false" ht="27.75" hidden="false" customHeight="true" outlineLevel="0" collapsed="false">
      <c r="A56" s="4" t="n">
        <v>53</v>
      </c>
      <c r="B56" s="27" t="s">
        <v>195</v>
      </c>
      <c r="C56" s="6" t="s">
        <v>234</v>
      </c>
      <c r="D56" s="7" t="s">
        <v>240</v>
      </c>
      <c r="E56" s="8" t="s">
        <v>241</v>
      </c>
      <c r="F56" s="9" t="n">
        <v>2</v>
      </c>
      <c r="G56" s="4" t="s">
        <v>242</v>
      </c>
      <c r="H56" s="9" t="s">
        <v>21</v>
      </c>
      <c r="I56" s="10" t="s">
        <v>22</v>
      </c>
      <c r="J56" s="11"/>
      <c r="K56" s="11"/>
      <c r="L56" s="12" t="n">
        <v>0</v>
      </c>
      <c r="M56" s="13" t="s">
        <v>243</v>
      </c>
      <c r="N56" s="14"/>
    </row>
    <row r="57" customFormat="false" ht="27.75" hidden="false" customHeight="true" outlineLevel="0" collapsed="false">
      <c r="A57" s="15" t="n">
        <v>54</v>
      </c>
      <c r="B57" s="27" t="s">
        <v>195</v>
      </c>
      <c r="C57" s="16" t="s">
        <v>234</v>
      </c>
      <c r="D57" s="17" t="s">
        <v>244</v>
      </c>
      <c r="E57" s="18" t="s">
        <v>245</v>
      </c>
      <c r="F57" s="19" t="n">
        <v>0.5</v>
      </c>
      <c r="G57" s="15" t="s">
        <v>242</v>
      </c>
      <c r="H57" s="19" t="s">
        <v>21</v>
      </c>
      <c r="I57" s="25" t="s">
        <v>60</v>
      </c>
      <c r="J57" s="21"/>
      <c r="K57" s="21"/>
      <c r="L57" s="22" t="n">
        <v>0</v>
      </c>
      <c r="M57" s="23" t="s">
        <v>246</v>
      </c>
      <c r="N57" s="24"/>
    </row>
    <row r="58" customFormat="false" ht="27.75" hidden="false" customHeight="true" outlineLevel="0" collapsed="false">
      <c r="A58" s="4" t="n">
        <v>55</v>
      </c>
      <c r="B58" s="27" t="s">
        <v>195</v>
      </c>
      <c r="C58" s="6" t="s">
        <v>247</v>
      </c>
      <c r="D58" s="7" t="s">
        <v>248</v>
      </c>
      <c r="E58" s="8" t="s">
        <v>249</v>
      </c>
      <c r="F58" s="9" t="n">
        <v>2</v>
      </c>
      <c r="G58" s="4" t="s">
        <v>221</v>
      </c>
      <c r="H58" s="9" t="s">
        <v>21</v>
      </c>
      <c r="I58" s="10" t="s">
        <v>22</v>
      </c>
      <c r="J58" s="11"/>
      <c r="K58" s="11"/>
      <c r="L58" s="12" t="n">
        <v>0</v>
      </c>
      <c r="M58" s="13" t="s">
        <v>250</v>
      </c>
      <c r="N58" s="14" t="s">
        <v>251</v>
      </c>
    </row>
    <row r="59" customFormat="false" ht="27.75" hidden="false" customHeight="true" outlineLevel="0" collapsed="false">
      <c r="A59" s="15" t="n">
        <v>56</v>
      </c>
      <c r="B59" s="27" t="s">
        <v>195</v>
      </c>
      <c r="C59" s="16" t="s">
        <v>247</v>
      </c>
      <c r="D59" s="17" t="s">
        <v>252</v>
      </c>
      <c r="E59" s="18" t="s">
        <v>253</v>
      </c>
      <c r="F59" s="19" t="n">
        <v>2</v>
      </c>
      <c r="G59" s="15" t="s">
        <v>254</v>
      </c>
      <c r="H59" s="19" t="s">
        <v>21</v>
      </c>
      <c r="I59" s="20" t="s">
        <v>22</v>
      </c>
      <c r="J59" s="21"/>
      <c r="K59" s="21"/>
      <c r="L59" s="22" t="n">
        <v>0</v>
      </c>
      <c r="M59" s="23" t="s">
        <v>255</v>
      </c>
      <c r="N59" s="24"/>
    </row>
    <row r="60" customFormat="false" ht="27.75" hidden="false" customHeight="true" outlineLevel="0" collapsed="false">
      <c r="A60" s="4" t="n">
        <v>57</v>
      </c>
      <c r="B60" s="27" t="s">
        <v>195</v>
      </c>
      <c r="C60" s="6" t="s">
        <v>247</v>
      </c>
      <c r="D60" s="7" t="s">
        <v>256</v>
      </c>
      <c r="E60" s="8" t="s">
        <v>257</v>
      </c>
      <c r="F60" s="9" t="n">
        <v>1</v>
      </c>
      <c r="G60" s="4" t="s">
        <v>254</v>
      </c>
      <c r="H60" s="9" t="s">
        <v>21</v>
      </c>
      <c r="I60" s="26" t="s">
        <v>60</v>
      </c>
      <c r="J60" s="11"/>
      <c r="K60" s="11"/>
      <c r="L60" s="12" t="n">
        <v>0</v>
      </c>
      <c r="M60" s="13" t="s">
        <v>258</v>
      </c>
      <c r="N60" s="14"/>
    </row>
    <row r="61" customFormat="false" ht="27.75" hidden="false" customHeight="true" outlineLevel="0" collapsed="false">
      <c r="A61" s="15" t="n">
        <v>58</v>
      </c>
      <c r="B61" s="27" t="s">
        <v>195</v>
      </c>
      <c r="C61" s="16" t="s">
        <v>259</v>
      </c>
      <c r="D61" s="17" t="s">
        <v>260</v>
      </c>
      <c r="E61" s="18" t="s">
        <v>261</v>
      </c>
      <c r="F61" s="19" t="n">
        <v>3</v>
      </c>
      <c r="G61" s="15" t="s">
        <v>262</v>
      </c>
      <c r="H61" s="19" t="s">
        <v>21</v>
      </c>
      <c r="I61" s="20" t="s">
        <v>22</v>
      </c>
      <c r="J61" s="21"/>
      <c r="K61" s="21"/>
      <c r="L61" s="22" t="n">
        <v>0</v>
      </c>
      <c r="M61" s="23" t="s">
        <v>263</v>
      </c>
      <c r="N61" s="24" t="s">
        <v>264</v>
      </c>
    </row>
    <row r="62" customFormat="false" ht="27.75" hidden="false" customHeight="true" outlineLevel="0" collapsed="false">
      <c r="A62" s="4" t="n">
        <v>59</v>
      </c>
      <c r="B62" s="27" t="s">
        <v>195</v>
      </c>
      <c r="C62" s="6" t="s">
        <v>259</v>
      </c>
      <c r="D62" s="7" t="s">
        <v>265</v>
      </c>
      <c r="E62" s="8" t="s">
        <v>266</v>
      </c>
      <c r="F62" s="9" t="n">
        <v>1.5</v>
      </c>
      <c r="G62" s="4" t="s">
        <v>221</v>
      </c>
      <c r="H62" s="9" t="s">
        <v>21</v>
      </c>
      <c r="I62" s="26" t="s">
        <v>60</v>
      </c>
      <c r="J62" s="11"/>
      <c r="K62" s="11"/>
      <c r="L62" s="12" t="n">
        <v>0</v>
      </c>
      <c r="M62" s="13" t="s">
        <v>267</v>
      </c>
      <c r="N62" s="14"/>
    </row>
    <row r="63" customFormat="false" ht="27.75" hidden="false" customHeight="true" outlineLevel="0" collapsed="false">
      <c r="A63" s="15" t="n">
        <v>60</v>
      </c>
      <c r="B63" s="27" t="s">
        <v>195</v>
      </c>
      <c r="C63" s="16" t="s">
        <v>259</v>
      </c>
      <c r="D63" s="17" t="s">
        <v>268</v>
      </c>
      <c r="E63" s="18" t="s">
        <v>269</v>
      </c>
      <c r="F63" s="19" t="n">
        <v>1.5</v>
      </c>
      <c r="G63" s="15" t="s">
        <v>146</v>
      </c>
      <c r="H63" s="19" t="s">
        <v>21</v>
      </c>
      <c r="I63" s="20" t="s">
        <v>22</v>
      </c>
      <c r="J63" s="21"/>
      <c r="K63" s="21"/>
      <c r="L63" s="22" t="n">
        <v>0</v>
      </c>
      <c r="M63" s="23" t="s">
        <v>270</v>
      </c>
      <c r="N63" s="24"/>
    </row>
    <row r="64" customFormat="false" ht="27.75" hidden="false" customHeight="true" outlineLevel="0" collapsed="false">
      <c r="A64" s="4" t="n">
        <v>61</v>
      </c>
      <c r="B64" s="28" t="s">
        <v>271</v>
      </c>
      <c r="C64" s="6" t="s">
        <v>272</v>
      </c>
      <c r="D64" s="7" t="s">
        <v>273</v>
      </c>
      <c r="E64" s="8" t="s">
        <v>274</v>
      </c>
      <c r="F64" s="9" t="n">
        <v>3</v>
      </c>
      <c r="G64" s="4" t="s">
        <v>195</v>
      </c>
      <c r="H64" s="9" t="s">
        <v>21</v>
      </c>
      <c r="I64" s="10" t="s">
        <v>22</v>
      </c>
      <c r="J64" s="11"/>
      <c r="K64" s="11"/>
      <c r="L64" s="12" t="n">
        <v>0</v>
      </c>
      <c r="M64" s="13" t="s">
        <v>275</v>
      </c>
      <c r="N64" s="14" t="s">
        <v>276</v>
      </c>
    </row>
    <row r="65" customFormat="false" ht="27.75" hidden="false" customHeight="true" outlineLevel="0" collapsed="false">
      <c r="A65" s="15" t="n">
        <v>62</v>
      </c>
      <c r="B65" s="28" t="s">
        <v>271</v>
      </c>
      <c r="C65" s="16" t="s">
        <v>277</v>
      </c>
      <c r="D65" s="17" t="s">
        <v>278</v>
      </c>
      <c r="E65" s="18" t="s">
        <v>279</v>
      </c>
      <c r="F65" s="19" t="n">
        <v>2.5</v>
      </c>
      <c r="G65" s="15" t="s">
        <v>195</v>
      </c>
      <c r="H65" s="19" t="s">
        <v>21</v>
      </c>
      <c r="I65" s="25" t="s">
        <v>60</v>
      </c>
      <c r="J65" s="21"/>
      <c r="K65" s="21"/>
      <c r="L65" s="22" t="n">
        <v>0</v>
      </c>
      <c r="M65" s="23" t="s">
        <v>280</v>
      </c>
      <c r="N65" s="24" t="s">
        <v>281</v>
      </c>
    </row>
    <row r="66" customFormat="false" ht="27.75" hidden="false" customHeight="true" outlineLevel="0" collapsed="false">
      <c r="A66" s="4" t="n">
        <v>63</v>
      </c>
      <c r="B66" s="28" t="s">
        <v>271</v>
      </c>
      <c r="C66" s="6" t="s">
        <v>282</v>
      </c>
      <c r="D66" s="7" t="s">
        <v>283</v>
      </c>
      <c r="E66" s="8" t="s">
        <v>284</v>
      </c>
      <c r="F66" s="9" t="n">
        <v>2</v>
      </c>
      <c r="G66" s="4" t="s">
        <v>195</v>
      </c>
      <c r="H66" s="9" t="s">
        <v>21</v>
      </c>
      <c r="I66" s="26" t="s">
        <v>60</v>
      </c>
      <c r="J66" s="11"/>
      <c r="K66" s="11"/>
      <c r="L66" s="12" t="n">
        <v>0</v>
      </c>
      <c r="M66" s="13" t="s">
        <v>285</v>
      </c>
      <c r="N66" s="14" t="s">
        <v>286</v>
      </c>
    </row>
    <row r="67" customFormat="false" ht="27.75" hidden="false" customHeight="true" outlineLevel="0" collapsed="false">
      <c r="A67" s="15" t="n">
        <v>64</v>
      </c>
      <c r="B67" s="28" t="s">
        <v>271</v>
      </c>
      <c r="C67" s="16" t="s">
        <v>287</v>
      </c>
      <c r="D67" s="17" t="s">
        <v>288</v>
      </c>
      <c r="E67" s="18" t="s">
        <v>289</v>
      </c>
      <c r="F67" s="19" t="n">
        <v>3</v>
      </c>
      <c r="G67" s="15" t="s">
        <v>195</v>
      </c>
      <c r="H67" s="19" t="s">
        <v>21</v>
      </c>
      <c r="I67" s="20" t="s">
        <v>22</v>
      </c>
      <c r="J67" s="21"/>
      <c r="K67" s="21"/>
      <c r="L67" s="22" t="n">
        <v>0</v>
      </c>
      <c r="M67" s="23" t="s">
        <v>290</v>
      </c>
      <c r="N67" s="24" t="s">
        <v>291</v>
      </c>
    </row>
    <row r="68" customFormat="false" ht="27.75" hidden="false" customHeight="true" outlineLevel="0" collapsed="false">
      <c r="A68" s="4" t="n">
        <v>65</v>
      </c>
      <c r="B68" s="28" t="s">
        <v>271</v>
      </c>
      <c r="C68" s="6" t="s">
        <v>292</v>
      </c>
      <c r="D68" s="7" t="s">
        <v>293</v>
      </c>
      <c r="E68" s="8" t="s">
        <v>294</v>
      </c>
      <c r="F68" s="9" t="n">
        <v>1.5</v>
      </c>
      <c r="G68" s="4" t="s">
        <v>195</v>
      </c>
      <c r="H68" s="9" t="s">
        <v>21</v>
      </c>
      <c r="I68" s="26" t="s">
        <v>60</v>
      </c>
      <c r="J68" s="11"/>
      <c r="K68" s="11"/>
      <c r="L68" s="12" t="n">
        <v>0</v>
      </c>
      <c r="M68" s="13" t="s">
        <v>295</v>
      </c>
      <c r="N68" s="14" t="s">
        <v>296</v>
      </c>
    </row>
    <row r="69" customFormat="false" ht="27.75" hidden="false" customHeight="true" outlineLevel="0" collapsed="false">
      <c r="A69" s="15" t="n">
        <v>66</v>
      </c>
      <c r="B69" s="28" t="s">
        <v>271</v>
      </c>
      <c r="C69" s="16" t="s">
        <v>297</v>
      </c>
      <c r="D69" s="17" t="s">
        <v>298</v>
      </c>
      <c r="E69" s="18" t="s">
        <v>299</v>
      </c>
      <c r="F69" s="19" t="n">
        <v>3</v>
      </c>
      <c r="G69" s="15" t="s">
        <v>195</v>
      </c>
      <c r="H69" s="19" t="s">
        <v>21</v>
      </c>
      <c r="I69" s="20" t="s">
        <v>22</v>
      </c>
      <c r="J69" s="21"/>
      <c r="K69" s="21"/>
      <c r="L69" s="22" t="n">
        <v>0</v>
      </c>
      <c r="M69" s="23" t="s">
        <v>300</v>
      </c>
      <c r="N69" s="24" t="s">
        <v>301</v>
      </c>
    </row>
    <row r="70" customFormat="false" ht="27.75" hidden="false" customHeight="true" outlineLevel="0" collapsed="false">
      <c r="A70" s="4" t="n">
        <v>67</v>
      </c>
      <c r="B70" s="28" t="s">
        <v>271</v>
      </c>
      <c r="C70" s="6" t="s">
        <v>302</v>
      </c>
      <c r="D70" s="7" t="s">
        <v>303</v>
      </c>
      <c r="E70" s="8" t="s">
        <v>304</v>
      </c>
      <c r="F70" s="9" t="n">
        <v>2</v>
      </c>
      <c r="G70" s="4" t="s">
        <v>305</v>
      </c>
      <c r="H70" s="9" t="s">
        <v>21</v>
      </c>
      <c r="I70" s="29" t="s">
        <v>306</v>
      </c>
      <c r="J70" s="11"/>
      <c r="K70" s="11"/>
      <c r="L70" s="12" t="n">
        <v>0</v>
      </c>
      <c r="M70" s="13" t="s">
        <v>307</v>
      </c>
      <c r="N70" s="14"/>
    </row>
    <row r="71" customFormat="false" ht="27.75" hidden="false" customHeight="true" outlineLevel="0" collapsed="false">
      <c r="A71" s="15" t="n">
        <v>68</v>
      </c>
      <c r="B71" s="30" t="s">
        <v>308</v>
      </c>
      <c r="C71" s="16" t="s">
        <v>309</v>
      </c>
      <c r="D71" s="17" t="s">
        <v>310</v>
      </c>
      <c r="E71" s="18" t="s">
        <v>311</v>
      </c>
      <c r="F71" s="19" t="n">
        <v>3</v>
      </c>
      <c r="G71" s="15" t="s">
        <v>271</v>
      </c>
      <c r="H71" s="19" t="s">
        <v>21</v>
      </c>
      <c r="I71" s="25" t="s">
        <v>60</v>
      </c>
      <c r="J71" s="21"/>
      <c r="K71" s="21"/>
      <c r="L71" s="22" t="n">
        <v>0</v>
      </c>
      <c r="M71" s="23" t="s">
        <v>312</v>
      </c>
      <c r="N71" s="24" t="s">
        <v>313</v>
      </c>
    </row>
    <row r="72" customFormat="false" ht="27.75" hidden="false" customHeight="true" outlineLevel="0" collapsed="false">
      <c r="A72" s="4" t="n">
        <v>69</v>
      </c>
      <c r="B72" s="30" t="s">
        <v>308</v>
      </c>
      <c r="C72" s="6" t="s">
        <v>314</v>
      </c>
      <c r="D72" s="7" t="s">
        <v>315</v>
      </c>
      <c r="E72" s="8" t="s">
        <v>316</v>
      </c>
      <c r="F72" s="9" t="n">
        <v>3</v>
      </c>
      <c r="G72" s="4" t="s">
        <v>271</v>
      </c>
      <c r="H72" s="9" t="s">
        <v>21</v>
      </c>
      <c r="I72" s="26" t="s">
        <v>60</v>
      </c>
      <c r="J72" s="11"/>
      <c r="K72" s="11"/>
      <c r="L72" s="12" t="n">
        <v>0</v>
      </c>
      <c r="M72" s="13" t="s">
        <v>317</v>
      </c>
      <c r="N72" s="14" t="s">
        <v>318</v>
      </c>
    </row>
    <row r="73" customFormat="false" ht="27.75" hidden="false" customHeight="true" outlineLevel="0" collapsed="false">
      <c r="A73" s="15" t="n">
        <v>70</v>
      </c>
      <c r="B73" s="30" t="s">
        <v>308</v>
      </c>
      <c r="C73" s="16" t="s">
        <v>319</v>
      </c>
      <c r="D73" s="17" t="s">
        <v>320</v>
      </c>
      <c r="E73" s="18" t="s">
        <v>321</v>
      </c>
      <c r="F73" s="19" t="n">
        <v>2</v>
      </c>
      <c r="G73" s="15" t="s">
        <v>271</v>
      </c>
      <c r="H73" s="19" t="s">
        <v>21</v>
      </c>
      <c r="I73" s="31" t="s">
        <v>306</v>
      </c>
      <c r="J73" s="21"/>
      <c r="K73" s="21"/>
      <c r="L73" s="22" t="n">
        <v>0</v>
      </c>
      <c r="M73" s="23" t="s">
        <v>322</v>
      </c>
      <c r="N73" s="24" t="s">
        <v>323</v>
      </c>
    </row>
    <row r="74" customFormat="false" ht="27.75" hidden="false" customHeight="true" outlineLevel="0" collapsed="false">
      <c r="A74" s="4" t="n">
        <v>71</v>
      </c>
      <c r="B74" s="30" t="s">
        <v>308</v>
      </c>
      <c r="C74" s="6" t="s">
        <v>324</v>
      </c>
      <c r="D74" s="7" t="s">
        <v>325</v>
      </c>
      <c r="E74" s="8" t="s">
        <v>326</v>
      </c>
      <c r="F74" s="9" t="n">
        <v>2</v>
      </c>
      <c r="G74" s="4" t="s">
        <v>271</v>
      </c>
      <c r="H74" s="9" t="s">
        <v>21</v>
      </c>
      <c r="I74" s="29" t="s">
        <v>306</v>
      </c>
      <c r="J74" s="11"/>
      <c r="K74" s="11"/>
      <c r="L74" s="12" t="n">
        <v>0</v>
      </c>
      <c r="M74" s="13" t="s">
        <v>327</v>
      </c>
      <c r="N74" s="14"/>
    </row>
    <row r="75" customFormat="false" ht="27.75" hidden="false" customHeight="true" outlineLevel="0" collapsed="false">
      <c r="A75" s="15" t="n">
        <v>72</v>
      </c>
      <c r="B75" s="30" t="s">
        <v>308</v>
      </c>
      <c r="C75" s="16" t="s">
        <v>328</v>
      </c>
      <c r="D75" s="17" t="s">
        <v>329</v>
      </c>
      <c r="E75" s="18" t="s">
        <v>330</v>
      </c>
      <c r="F75" s="19" t="n">
        <v>2</v>
      </c>
      <c r="G75" s="15" t="s">
        <v>271</v>
      </c>
      <c r="H75" s="19" t="s">
        <v>21</v>
      </c>
      <c r="I75" s="25" t="s">
        <v>60</v>
      </c>
      <c r="J75" s="21"/>
      <c r="K75" s="21"/>
      <c r="L75" s="22" t="n">
        <v>0</v>
      </c>
      <c r="M75" s="23" t="s">
        <v>331</v>
      </c>
      <c r="N75" s="24" t="s">
        <v>332</v>
      </c>
    </row>
    <row r="76" customFormat="false" ht="27.75" hidden="false" customHeight="true" outlineLevel="0" collapsed="false">
      <c r="A76" s="4" t="n">
        <v>73</v>
      </c>
      <c r="B76" s="30" t="s">
        <v>308</v>
      </c>
      <c r="C76" s="6" t="s">
        <v>333</v>
      </c>
      <c r="D76" s="7" t="s">
        <v>334</v>
      </c>
      <c r="E76" s="8" t="s">
        <v>335</v>
      </c>
      <c r="F76" s="9" t="n">
        <v>4</v>
      </c>
      <c r="G76" s="4" t="s">
        <v>271</v>
      </c>
      <c r="H76" s="9" t="s">
        <v>21</v>
      </c>
      <c r="I76" s="10" t="s">
        <v>22</v>
      </c>
      <c r="J76" s="11"/>
      <c r="K76" s="11"/>
      <c r="L76" s="12" t="n">
        <v>0</v>
      </c>
      <c r="M76" s="13" t="s">
        <v>336</v>
      </c>
      <c r="N76" s="14"/>
    </row>
    <row r="77" customFormat="false" ht="27.75" hidden="false" customHeight="true" outlineLevel="0" collapsed="false">
      <c r="A77" s="15" t="n">
        <v>74</v>
      </c>
      <c r="B77" s="32" t="s">
        <v>337</v>
      </c>
      <c r="C77" s="16" t="s">
        <v>338</v>
      </c>
      <c r="D77" s="17" t="s">
        <v>339</v>
      </c>
      <c r="E77" s="18" t="s">
        <v>340</v>
      </c>
      <c r="F77" s="19" t="n">
        <v>5</v>
      </c>
      <c r="G77" s="15" t="s">
        <v>308</v>
      </c>
      <c r="H77" s="19" t="s">
        <v>21</v>
      </c>
      <c r="I77" s="20" t="s">
        <v>22</v>
      </c>
      <c r="J77" s="21"/>
      <c r="K77" s="21"/>
      <c r="L77" s="22" t="n">
        <v>0</v>
      </c>
      <c r="M77" s="23" t="s">
        <v>341</v>
      </c>
      <c r="N77" s="24" t="s">
        <v>342</v>
      </c>
    </row>
    <row r="78" customFormat="false" ht="27.75" hidden="false" customHeight="true" outlineLevel="0" collapsed="false">
      <c r="A78" s="4" t="n">
        <v>75</v>
      </c>
      <c r="B78" s="32" t="s">
        <v>337</v>
      </c>
      <c r="C78" s="6" t="s">
        <v>343</v>
      </c>
      <c r="D78" s="7" t="s">
        <v>344</v>
      </c>
      <c r="E78" s="8" t="s">
        <v>345</v>
      </c>
      <c r="F78" s="9" t="n">
        <v>15</v>
      </c>
      <c r="G78" s="4" t="s">
        <v>346</v>
      </c>
      <c r="H78" s="9" t="s">
        <v>21</v>
      </c>
      <c r="I78" s="10" t="s">
        <v>22</v>
      </c>
      <c r="J78" s="11"/>
      <c r="K78" s="11"/>
      <c r="L78" s="12" t="n">
        <v>0</v>
      </c>
      <c r="M78" s="13" t="s">
        <v>347</v>
      </c>
      <c r="N78" s="14" t="s">
        <v>348</v>
      </c>
    </row>
    <row r="79" customFormat="false" ht="27.75" hidden="false" customHeight="true" outlineLevel="0" collapsed="false">
      <c r="A79" s="15" t="n">
        <v>76</v>
      </c>
      <c r="B79" s="32" t="s">
        <v>337</v>
      </c>
      <c r="C79" s="16" t="s">
        <v>349</v>
      </c>
      <c r="D79" s="17" t="s">
        <v>350</v>
      </c>
      <c r="E79" s="18" t="s">
        <v>351</v>
      </c>
      <c r="F79" s="19" t="n">
        <v>5</v>
      </c>
      <c r="G79" s="15" t="s">
        <v>352</v>
      </c>
      <c r="H79" s="19" t="s">
        <v>21</v>
      </c>
      <c r="I79" s="25" t="s">
        <v>60</v>
      </c>
      <c r="J79" s="21"/>
      <c r="K79" s="21"/>
      <c r="L79" s="22" t="n">
        <v>0</v>
      </c>
      <c r="M79" s="23" t="s">
        <v>353</v>
      </c>
      <c r="N79" s="24"/>
    </row>
    <row r="80" customFormat="false" ht="27.75" hidden="false" customHeight="true" outlineLevel="0" collapsed="false">
      <c r="A80" s="4" t="n">
        <v>77</v>
      </c>
      <c r="B80" s="32" t="s">
        <v>337</v>
      </c>
      <c r="C80" s="6" t="s">
        <v>354</v>
      </c>
      <c r="D80" s="7" t="s">
        <v>355</v>
      </c>
      <c r="E80" s="8" t="s">
        <v>356</v>
      </c>
      <c r="F80" s="9" t="n">
        <v>4</v>
      </c>
      <c r="G80" s="4" t="s">
        <v>352</v>
      </c>
      <c r="H80" s="9" t="s">
        <v>21</v>
      </c>
      <c r="I80" s="26" t="s">
        <v>60</v>
      </c>
      <c r="J80" s="11"/>
      <c r="K80" s="11"/>
      <c r="L80" s="12" t="n">
        <v>0</v>
      </c>
      <c r="M80" s="13" t="s">
        <v>357</v>
      </c>
      <c r="N80" s="14"/>
    </row>
    <row r="82" customFormat="false" ht="15" hidden="false" customHeight="false" outlineLevel="0" collapsed="false">
      <c r="A82" s="33" t="s">
        <v>358</v>
      </c>
      <c r="B82" s="33"/>
      <c r="C82" s="33"/>
      <c r="D82" s="33"/>
      <c r="E82" s="33"/>
      <c r="F82" s="34" t="n">
        <f aca="false">SUM(F4:F80)</f>
        <v>137</v>
      </c>
    </row>
  </sheetData>
  <autoFilter ref="A3:N3"/>
  <mergeCells count="3">
    <mergeCell ref="A1:N1"/>
    <mergeCell ref="A2:N2"/>
    <mergeCell ref="A82:E82"/>
  </mergeCells>
  <conditionalFormatting sqref="H4:H80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3">
      <formula>"In Progress"</formula>
    </cfRule>
    <cfRule type="cellIs" priority="4" operator="equal" aboveAverage="0" equalAverage="0" bottom="0" percent="0" rank="0" text="" dxfId="4">
      <formula>"Not Started"</formula>
    </cfRule>
    <cfRule type="cellIs" priority="5" operator="equal" aboveAverage="0" equalAverage="0" bottom="0" percent="0" rank="0" text="" dxfId="5">
      <formula>"Blocked"</formula>
    </cfRule>
  </conditionalFormatting>
  <conditionalFormatting sqref="L4:L80">
    <cfRule type="dataBar" priority="6">
      <dataBar showValue="1" minLength="10" maxLength="90">
        <cfvo type="num" val="0"/>
        <cfvo type="num" val="1"/>
        <color rgb="FF27AE60"/>
      </dataBar>
      <extLst>
        <ext xmlns:x14="http://schemas.microsoft.com/office/spreadsheetml/2009/9/main" uri="{B025F937-C7B1-47D3-B67F-A62EFF666E3E}">
          <x14:id>{7CE411B9-EC58-488A-BC3A-9B7929EF6AC2}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E411B9-EC58-488A-BC3A-9B7929EF6AC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7AE60"/>
              <x14:axisColor rgb="FF000000"/>
            </x14:dataBar>
          </x14:cfRule>
          <xm:sqref>L4:L80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  <col collapsed="false" customWidth="true" hidden="false" outlineLevel="0" max="5" min="5" style="0" width="45"/>
    <col collapsed="false" customWidth="true" hidden="false" outlineLevel="0" max="6" min="6" style="0" width="25"/>
    <col collapsed="false" customWidth="true" hidden="false" outlineLevel="0" max="7" min="7" style="0" width="35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35" t="s">
        <v>359</v>
      </c>
      <c r="B1" s="35"/>
      <c r="C1" s="35"/>
      <c r="D1" s="35"/>
      <c r="E1" s="35"/>
      <c r="F1" s="35"/>
      <c r="G1" s="35"/>
      <c r="H1" s="35"/>
    </row>
    <row r="3" customFormat="false" ht="30" hidden="false" customHeight="true" outlineLevel="0" collapsed="false">
      <c r="A3" s="3" t="s">
        <v>3</v>
      </c>
      <c r="B3" s="3" t="s">
        <v>360</v>
      </c>
      <c r="C3" s="3" t="s">
        <v>361</v>
      </c>
      <c r="D3" s="3" t="s">
        <v>362</v>
      </c>
      <c r="E3" s="3" t="s">
        <v>363</v>
      </c>
      <c r="F3" s="3" t="s">
        <v>364</v>
      </c>
      <c r="G3" s="3" t="s">
        <v>365</v>
      </c>
      <c r="H3" s="3" t="s">
        <v>366</v>
      </c>
    </row>
    <row r="4" customFormat="false" ht="69.75" hidden="false" customHeight="true" outlineLevel="0" collapsed="false">
      <c r="A4" s="36" t="s">
        <v>367</v>
      </c>
      <c r="B4" s="7" t="s">
        <v>368</v>
      </c>
      <c r="C4" s="7" t="n">
        <v>41</v>
      </c>
      <c r="D4" s="7" t="s">
        <v>369</v>
      </c>
      <c r="E4" s="7" t="s">
        <v>370</v>
      </c>
      <c r="F4" s="7" t="s">
        <v>371</v>
      </c>
      <c r="G4" s="7" t="s">
        <v>372</v>
      </c>
      <c r="H4" s="7" t="s">
        <v>373</v>
      </c>
    </row>
    <row r="5" customFormat="false" ht="69.75" hidden="false" customHeight="true" outlineLevel="0" collapsed="false">
      <c r="A5" s="37" t="s">
        <v>374</v>
      </c>
      <c r="B5" s="7" t="s">
        <v>375</v>
      </c>
      <c r="C5" s="7" t="n">
        <v>21</v>
      </c>
      <c r="D5" s="7" t="s">
        <v>376</v>
      </c>
      <c r="E5" s="7" t="s">
        <v>377</v>
      </c>
      <c r="F5" s="7" t="s">
        <v>378</v>
      </c>
      <c r="G5" s="7" t="s">
        <v>379</v>
      </c>
      <c r="H5" s="7" t="s">
        <v>380</v>
      </c>
    </row>
    <row r="6" customFormat="false" ht="69.75" hidden="false" customHeight="true" outlineLevel="0" collapsed="false">
      <c r="A6" s="38" t="s">
        <v>381</v>
      </c>
      <c r="B6" s="7" t="s">
        <v>382</v>
      </c>
      <c r="C6" s="7" t="n">
        <v>7</v>
      </c>
      <c r="D6" s="7" t="s">
        <v>383</v>
      </c>
      <c r="E6" s="7" t="s">
        <v>384</v>
      </c>
      <c r="F6" s="7" t="s">
        <v>385</v>
      </c>
      <c r="G6" s="7" t="s">
        <v>386</v>
      </c>
      <c r="H6" s="7" t="s">
        <v>387</v>
      </c>
    </row>
    <row r="7" customFormat="false" ht="69.75" hidden="false" customHeight="true" outlineLevel="0" collapsed="false">
      <c r="A7" s="39" t="s">
        <v>388</v>
      </c>
      <c r="B7" s="7" t="s">
        <v>389</v>
      </c>
      <c r="C7" s="7" t="n">
        <v>6</v>
      </c>
      <c r="D7" s="7" t="s">
        <v>390</v>
      </c>
      <c r="E7" s="7" t="s">
        <v>391</v>
      </c>
      <c r="F7" s="7" t="s">
        <v>392</v>
      </c>
      <c r="G7" s="7" t="s">
        <v>393</v>
      </c>
      <c r="H7" s="7" t="s">
        <v>394</v>
      </c>
    </row>
    <row r="8" customFormat="false" ht="69.75" hidden="false" customHeight="true" outlineLevel="0" collapsed="false">
      <c r="A8" s="40" t="s">
        <v>395</v>
      </c>
      <c r="B8" s="7" t="s">
        <v>396</v>
      </c>
      <c r="C8" s="7" t="n">
        <v>4</v>
      </c>
      <c r="D8" s="7" t="s">
        <v>397</v>
      </c>
      <c r="E8" s="7" t="s">
        <v>398</v>
      </c>
      <c r="F8" s="7" t="s">
        <v>399</v>
      </c>
      <c r="G8" s="7" t="s">
        <v>400</v>
      </c>
      <c r="H8" s="7" t="s">
        <v>401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8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5"/>
  </cols>
  <sheetData>
    <row r="1" customFormat="false" ht="34.5" hidden="false" customHeight="true" outlineLevel="0" collapsed="false">
      <c r="A1" s="35" t="s">
        <v>402</v>
      </c>
      <c r="B1" s="35"/>
      <c r="C1" s="35"/>
      <c r="D1" s="35"/>
      <c r="E1" s="35"/>
      <c r="F1" s="35"/>
    </row>
    <row r="3" customFormat="false" ht="15" hidden="false" customHeight="false" outlineLevel="0" collapsed="false">
      <c r="A3" s="3" t="s">
        <v>403</v>
      </c>
      <c r="B3" s="3" t="s">
        <v>404</v>
      </c>
      <c r="C3" s="3" t="s">
        <v>405</v>
      </c>
      <c r="D3" s="3" t="s">
        <v>406</v>
      </c>
      <c r="E3" s="3" t="s">
        <v>3</v>
      </c>
      <c r="F3" s="3" t="s">
        <v>15</v>
      </c>
    </row>
    <row r="4" customFormat="false" ht="23.85" hidden="false" customHeight="false" outlineLevel="0" collapsed="false">
      <c r="A4" s="7" t="s">
        <v>407</v>
      </c>
      <c r="B4" s="7" t="s">
        <v>408</v>
      </c>
      <c r="C4" s="7" t="s">
        <v>409</v>
      </c>
      <c r="D4" s="41" t="n">
        <v>50</v>
      </c>
      <c r="E4" s="7" t="s">
        <v>16</v>
      </c>
      <c r="F4" s="7" t="s">
        <v>410</v>
      </c>
    </row>
    <row r="5" customFormat="false" ht="15" hidden="false" customHeight="false" outlineLevel="0" collapsed="false">
      <c r="A5" s="17" t="s">
        <v>411</v>
      </c>
      <c r="B5" s="17" t="s">
        <v>412</v>
      </c>
      <c r="C5" s="17" t="s">
        <v>413</v>
      </c>
      <c r="D5" s="42" t="n">
        <v>0</v>
      </c>
      <c r="E5" s="17" t="s">
        <v>16</v>
      </c>
      <c r="F5" s="17" t="s">
        <v>414</v>
      </c>
    </row>
    <row r="6" customFormat="false" ht="23.85" hidden="false" customHeight="false" outlineLevel="0" collapsed="false">
      <c r="A6" s="7" t="s">
        <v>415</v>
      </c>
      <c r="B6" s="7" t="s">
        <v>416</v>
      </c>
      <c r="C6" s="7" t="s">
        <v>417</v>
      </c>
      <c r="D6" s="41" t="n">
        <v>50</v>
      </c>
      <c r="E6" s="7" t="s">
        <v>16</v>
      </c>
      <c r="F6" s="7" t="s">
        <v>418</v>
      </c>
    </row>
    <row r="7" customFormat="false" ht="23.85" hidden="false" customHeight="false" outlineLevel="0" collapsed="false">
      <c r="A7" s="17" t="s">
        <v>419</v>
      </c>
      <c r="B7" s="17" t="s">
        <v>420</v>
      </c>
      <c r="C7" s="17" t="s">
        <v>421</v>
      </c>
      <c r="D7" s="42" t="n">
        <v>0</v>
      </c>
      <c r="E7" s="17" t="s">
        <v>195</v>
      </c>
      <c r="F7" s="17" t="s">
        <v>422</v>
      </c>
    </row>
    <row r="8" customFormat="false" ht="23.85" hidden="false" customHeight="false" outlineLevel="0" collapsed="false">
      <c r="A8" s="7" t="s">
        <v>423</v>
      </c>
      <c r="B8" s="7" t="s">
        <v>424</v>
      </c>
      <c r="C8" s="7" t="s">
        <v>425</v>
      </c>
      <c r="D8" s="41" t="n">
        <v>100</v>
      </c>
      <c r="E8" s="7" t="s">
        <v>195</v>
      </c>
      <c r="F8" s="7" t="s">
        <v>426</v>
      </c>
    </row>
    <row r="9" customFormat="false" ht="23.85" hidden="false" customHeight="false" outlineLevel="0" collapsed="false">
      <c r="A9" s="17" t="s">
        <v>427</v>
      </c>
      <c r="B9" s="17" t="s">
        <v>428</v>
      </c>
      <c r="C9" s="17" t="s">
        <v>429</v>
      </c>
      <c r="D9" s="42" t="n">
        <v>0</v>
      </c>
      <c r="E9" s="17" t="s">
        <v>271</v>
      </c>
      <c r="F9" s="17" t="s">
        <v>430</v>
      </c>
    </row>
    <row r="10" customFormat="false" ht="15" hidden="false" customHeight="false" outlineLevel="0" collapsed="false">
      <c r="A10" s="7" t="s">
        <v>431</v>
      </c>
      <c r="B10" s="7" t="s">
        <v>432</v>
      </c>
      <c r="C10" s="7" t="s">
        <v>433</v>
      </c>
      <c r="D10" s="41" t="n">
        <v>49</v>
      </c>
      <c r="E10" s="7" t="s">
        <v>271</v>
      </c>
      <c r="F10" s="7" t="s">
        <v>434</v>
      </c>
    </row>
    <row r="11" customFormat="false" ht="15" hidden="false" customHeight="false" outlineLevel="0" collapsed="false">
      <c r="A11" s="17" t="s">
        <v>435</v>
      </c>
      <c r="B11" s="17" t="s">
        <v>436</v>
      </c>
      <c r="C11" s="17" t="s">
        <v>437</v>
      </c>
      <c r="D11" s="42" t="n">
        <v>0</v>
      </c>
      <c r="E11" s="17" t="s">
        <v>271</v>
      </c>
      <c r="F11" s="17" t="s">
        <v>438</v>
      </c>
    </row>
    <row r="12" customFormat="false" ht="15" hidden="false" customHeight="false" outlineLevel="0" collapsed="false">
      <c r="A12" s="7" t="s">
        <v>439</v>
      </c>
      <c r="B12" s="7" t="s">
        <v>440</v>
      </c>
      <c r="C12" s="7" t="s">
        <v>441</v>
      </c>
      <c r="D12" s="43" t="n">
        <v>0</v>
      </c>
      <c r="E12" s="7" t="s">
        <v>271</v>
      </c>
      <c r="F12" s="7" t="s">
        <v>442</v>
      </c>
    </row>
    <row r="13" customFormat="false" ht="15" hidden="false" customHeight="false" outlineLevel="0" collapsed="false">
      <c r="A13" s="17" t="s">
        <v>443</v>
      </c>
      <c r="B13" s="17" t="s">
        <v>444</v>
      </c>
      <c r="C13" s="17" t="s">
        <v>445</v>
      </c>
      <c r="D13" s="44" t="n">
        <v>200</v>
      </c>
      <c r="E13" s="17" t="s">
        <v>271</v>
      </c>
      <c r="F13" s="17" t="s">
        <v>446</v>
      </c>
    </row>
    <row r="14" customFormat="false" ht="15" hidden="false" customHeight="false" outlineLevel="0" collapsed="false">
      <c r="A14" s="7" t="s">
        <v>447</v>
      </c>
      <c r="B14" s="7" t="s">
        <v>448</v>
      </c>
      <c r="C14" s="7" t="s">
        <v>449</v>
      </c>
      <c r="D14" s="41" t="n">
        <v>500</v>
      </c>
      <c r="E14" s="7" t="s">
        <v>308</v>
      </c>
      <c r="F14" s="7" t="s">
        <v>450</v>
      </c>
    </row>
    <row r="15" customFormat="false" ht="15" hidden="false" customHeight="false" outlineLevel="0" collapsed="false">
      <c r="A15" s="17" t="s">
        <v>451</v>
      </c>
      <c r="B15" s="17" t="s">
        <v>452</v>
      </c>
      <c r="C15" s="17" t="s">
        <v>453</v>
      </c>
      <c r="D15" s="42" t="n">
        <v>0</v>
      </c>
      <c r="E15" s="17" t="s">
        <v>16</v>
      </c>
      <c r="F15" s="17" t="s">
        <v>454</v>
      </c>
    </row>
    <row r="16" customFormat="false" ht="15" hidden="false" customHeight="false" outlineLevel="0" collapsed="false">
      <c r="A16" s="7" t="s">
        <v>455</v>
      </c>
      <c r="B16" s="7" t="s">
        <v>456</v>
      </c>
      <c r="C16" s="7" t="s">
        <v>457</v>
      </c>
      <c r="D16" s="43" t="n">
        <v>0</v>
      </c>
      <c r="E16" s="7" t="s">
        <v>16</v>
      </c>
      <c r="F16" s="7" t="s">
        <v>458</v>
      </c>
    </row>
    <row r="18" customFormat="false" ht="15" hidden="false" customHeight="false" outlineLevel="0" collapsed="false">
      <c r="A18" s="45" t="s">
        <v>459</v>
      </c>
      <c r="D18" s="46" t="n">
        <f aca="false">SUM(D4:D16)</f>
        <v>949</v>
      </c>
    </row>
    <row r="19" customFormat="false" ht="15" hidden="false" customHeight="false" outlineLevel="0" collapsed="false">
      <c r="A19" s="47" t="s">
        <v>460</v>
      </c>
      <c r="D19" s="48" t="n">
        <v>100</v>
      </c>
      <c r="F19" s="49" t="s">
        <v>461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50"/>
  </cols>
  <sheetData>
    <row r="1" customFormat="false" ht="34.5" hidden="false" customHeight="true" outlineLevel="0" collapsed="false">
      <c r="A1" s="35" t="s">
        <v>462</v>
      </c>
      <c r="B1" s="35"/>
      <c r="C1" s="35"/>
      <c r="D1" s="35"/>
    </row>
    <row r="3" customFormat="false" ht="15" hidden="false" customHeight="false" outlineLevel="0" collapsed="false">
      <c r="A3" s="3" t="s">
        <v>4</v>
      </c>
      <c r="B3" s="3" t="s">
        <v>463</v>
      </c>
      <c r="C3" s="3" t="s">
        <v>464</v>
      </c>
      <c r="D3" s="3" t="s">
        <v>15</v>
      </c>
    </row>
    <row r="4" customFormat="false" ht="34.5" hidden="false" customHeight="true" outlineLevel="0" collapsed="false">
      <c r="A4" s="7" t="s">
        <v>17</v>
      </c>
      <c r="B4" s="7" t="s">
        <v>465</v>
      </c>
      <c r="C4" s="7" t="s">
        <v>466</v>
      </c>
      <c r="D4" s="50" t="s">
        <v>467</v>
      </c>
    </row>
    <row r="5" customFormat="false" ht="34.5" hidden="false" customHeight="true" outlineLevel="0" collapsed="false">
      <c r="A5" s="7" t="s">
        <v>42</v>
      </c>
      <c r="B5" s="7" t="s">
        <v>17</v>
      </c>
      <c r="C5" s="7" t="s">
        <v>468</v>
      </c>
      <c r="D5" s="7" t="s">
        <v>469</v>
      </c>
    </row>
    <row r="6" customFormat="false" ht="34.5" hidden="false" customHeight="true" outlineLevel="0" collapsed="false">
      <c r="A6" s="7" t="s">
        <v>62</v>
      </c>
      <c r="B6" s="7" t="s">
        <v>470</v>
      </c>
      <c r="C6" s="7" t="s">
        <v>471</v>
      </c>
      <c r="D6" s="7" t="s">
        <v>472</v>
      </c>
    </row>
    <row r="7" customFormat="false" ht="34.5" hidden="false" customHeight="true" outlineLevel="0" collapsed="false">
      <c r="A7" s="7" t="s">
        <v>80</v>
      </c>
      <c r="B7" s="7" t="s">
        <v>473</v>
      </c>
      <c r="C7" s="7" t="s">
        <v>474</v>
      </c>
      <c r="D7" s="7" t="s">
        <v>475</v>
      </c>
    </row>
    <row r="8" customFormat="false" ht="34.5" hidden="false" customHeight="true" outlineLevel="0" collapsed="false">
      <c r="A8" s="7" t="s">
        <v>95</v>
      </c>
      <c r="B8" s="7" t="s">
        <v>42</v>
      </c>
      <c r="C8" s="7" t="s">
        <v>476</v>
      </c>
      <c r="D8" s="7" t="s">
        <v>477</v>
      </c>
    </row>
    <row r="9" customFormat="false" ht="34.5" hidden="false" customHeight="true" outlineLevel="0" collapsed="false">
      <c r="A9" s="7" t="s">
        <v>113</v>
      </c>
      <c r="B9" s="7" t="s">
        <v>478</v>
      </c>
      <c r="C9" s="7" t="s">
        <v>479</v>
      </c>
      <c r="D9" s="7" t="s">
        <v>480</v>
      </c>
    </row>
    <row r="10" customFormat="false" ht="34.5" hidden="false" customHeight="true" outlineLevel="0" collapsed="false">
      <c r="A10" s="7" t="s">
        <v>134</v>
      </c>
      <c r="B10" s="7" t="s">
        <v>481</v>
      </c>
      <c r="C10" s="7" t="s">
        <v>482</v>
      </c>
      <c r="D10" s="50" t="s">
        <v>483</v>
      </c>
    </row>
    <row r="11" customFormat="false" ht="34.5" hidden="false" customHeight="true" outlineLevel="0" collapsed="false">
      <c r="A11" s="7" t="s">
        <v>153</v>
      </c>
      <c r="B11" s="7" t="s">
        <v>484</v>
      </c>
      <c r="C11" s="7" t="s">
        <v>485</v>
      </c>
      <c r="D11" s="7" t="s">
        <v>486</v>
      </c>
    </row>
    <row r="12" customFormat="false" ht="34.5" hidden="false" customHeight="true" outlineLevel="0" collapsed="false">
      <c r="A12" s="7" t="s">
        <v>185</v>
      </c>
      <c r="B12" s="7" t="s">
        <v>487</v>
      </c>
      <c r="C12" s="7" t="s">
        <v>485</v>
      </c>
      <c r="D12" s="7" t="s">
        <v>488</v>
      </c>
    </row>
    <row r="13" customFormat="false" ht="34.5" hidden="false" customHeight="true" outlineLevel="0" collapsed="false">
      <c r="A13" s="7" t="s">
        <v>195</v>
      </c>
      <c r="B13" s="7" t="s">
        <v>489</v>
      </c>
      <c r="C13" s="7" t="s">
        <v>271</v>
      </c>
      <c r="D13" s="7" t="s">
        <v>490</v>
      </c>
    </row>
    <row r="14" customFormat="false" ht="34.5" hidden="false" customHeight="true" outlineLevel="0" collapsed="false">
      <c r="A14" s="7" t="s">
        <v>271</v>
      </c>
      <c r="B14" s="7" t="s">
        <v>491</v>
      </c>
      <c r="C14" s="7" t="s">
        <v>308</v>
      </c>
      <c r="D14" s="7" t="s">
        <v>492</v>
      </c>
    </row>
    <row r="15" customFormat="false" ht="34.5" hidden="false" customHeight="true" outlineLevel="0" collapsed="false">
      <c r="A15" s="7" t="s">
        <v>308</v>
      </c>
      <c r="B15" s="7" t="s">
        <v>493</v>
      </c>
      <c r="C15" s="7" t="s">
        <v>337</v>
      </c>
      <c r="D15" s="7" t="s">
        <v>494</v>
      </c>
    </row>
    <row r="16" customFormat="false" ht="34.5" hidden="false" customHeight="true" outlineLevel="0" collapsed="false">
      <c r="A16" s="7" t="s">
        <v>337</v>
      </c>
      <c r="B16" s="7" t="s">
        <v>495</v>
      </c>
      <c r="C16" s="7" t="s">
        <v>496</v>
      </c>
      <c r="D16" s="7" t="s">
        <v>497</v>
      </c>
    </row>
    <row r="19" customFormat="false" ht="15" hidden="false" customHeight="false" outlineLevel="0" collapsed="false">
      <c r="A19" s="51" t="s">
        <v>498</v>
      </c>
      <c r="B19" s="51"/>
      <c r="C19" s="51"/>
      <c r="D19" s="51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2026-03-02T00:12:12Z</dcterms:created>
  <dc:creator>openpyxl</dc:creator>
  <dc:description/>
  <dc:language>en-US</dc:language>
  <cp:lastModifiedBy/>
  <dcterms:modified xsi:type="dcterms:W3CDTF">2026-03-02T00:12:12Z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